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d.docs.live.net/88520DAD43069E04/Documents/"/>
    </mc:Choice>
  </mc:AlternateContent>
  <xr:revisionPtr revIDLastSave="1466" documentId="8_{BDAA5453-38E2-46E6-B54A-419108C5B972}" xr6:coauthVersionLast="47" xr6:coauthVersionMax="47" xr10:uidLastSave="{ACB830D6-EA66-4EA2-920D-7CDB1BBA8AD5}"/>
  <bookViews>
    <workbookView xWindow="-108" yWindow="-108" windowWidth="23256" windowHeight="12456" activeTab="4" xr2:uid="{5EA24A37-EC92-4E5A-9D93-7CD5CF1EE9F0}"/>
  </bookViews>
  <sheets>
    <sheet name="Raw_Research" sheetId="1" r:id="rId1"/>
    <sheet name="Master_Data" sheetId="2" r:id="rId2"/>
    <sheet name="PQ_CleanData" sheetId="7" r:id="rId3"/>
    <sheet name="Calculations" sheetId="3" r:id="rId4"/>
    <sheet name="Pivot" sheetId="4" r:id="rId5"/>
    <sheet name="Dashboard" sheetId="5" r:id="rId6"/>
  </sheets>
  <definedNames>
    <definedName name="ExternalData_1" localSheetId="2" hidden="1">PQ_CleanData!$A$1:$I$49</definedName>
    <definedName name="Slicer_Trend_Type">#N/A</definedName>
    <definedName name="Slicer_Year">#N/A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 i="2" l="1"/>
  <c r="I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B6" i="3"/>
  <c r="B5" i="3"/>
  <c r="B4" i="3"/>
  <c r="B3" i="3"/>
  <c r="B2" i="3"/>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1F41DD1-94F7-4BC9-AF44-1286662922E3}" keepAlive="1" name="Query - SocialMedia_CleanData" description="Connection to the 'SocialMedia_CleanData' query in the workbook." type="5" refreshedVersion="8" background="1" saveData="1">
    <dbPr connection="Provider=Microsoft.Mashup.OleDb.1;Data Source=$Workbook$;Location=SocialMedia_CleanData;Extended Properties=&quot;&quot;" command="SELECT * FROM [SocialMedia_CleanData]"/>
  </connection>
</connections>
</file>

<file path=xl/sharedStrings.xml><?xml version="1.0" encoding="utf-8"?>
<sst xmlns="http://schemas.openxmlformats.org/spreadsheetml/2006/main" count="783" uniqueCount="167">
  <si>
    <t>Dataset 1: India Digital Growth (2015–2025)</t>
  </si>
  <si>
    <t>Year</t>
  </si>
  <si>
    <t>Mobile Connections (Billion)</t>
  </si>
  <si>
    <t>Internet Users (Million)</t>
  </si>
  <si>
    <t>Social Media Users (Million)</t>
  </si>
  <si>
    <t>Major Event</t>
  </si>
  <si>
    <t>4G expansion</t>
  </si>
  <si>
    <t>Jio launch</t>
  </si>
  <si>
    <t>Cheap data</t>
  </si>
  <si>
    <t>Smartphone boom</t>
  </si>
  <si>
    <t>Video apps growth</t>
  </si>
  <si>
    <t>COVID lockdown</t>
  </si>
  <si>
    <t>Online classes</t>
  </si>
  <si>
    <t>Hybrid learning</t>
  </si>
  <si>
    <t>5G rollout</t>
  </si>
  <si>
    <t>AI features</t>
  </si>
  <si>
    <t>AI phone era</t>
  </si>
  <si>
    <t>Source: DataReportal India + GSMA</t>
  </si>
  <si>
    <t>Dataset 2: Platform Popularity (India 2025)</t>
  </si>
  <si>
    <t>Platform</t>
  </si>
  <si>
    <t>Users (Million)</t>
  </si>
  <si>
    <t>Category</t>
  </si>
  <si>
    <t>YouTube</t>
  </si>
  <si>
    <t>Video</t>
  </si>
  <si>
    <t>Instagram</t>
  </si>
  <si>
    <t>Social</t>
  </si>
  <si>
    <t>Facebook</t>
  </si>
  <si>
    <t>Snapchat</t>
  </si>
  <si>
    <t>Messaging</t>
  </si>
  <si>
    <t>Messenger</t>
  </si>
  <si>
    <t>WhatsApp</t>
  </si>
  <si>
    <t>Very High</t>
  </si>
  <si>
    <t>Source: DataReportal + Reuters.</t>
  </si>
  <si>
    <t>Dataset 3: Children &amp; Teen Smartphone Usage</t>
  </si>
  <si>
    <t>Metric</t>
  </si>
  <si>
    <t>Value</t>
  </si>
  <si>
    <t>Smartphone access at home</t>
  </si>
  <si>
    <t>Know how to use smartphone</t>
  </si>
  <si>
    <t>Use for education</t>
  </si>
  <si>
    <t>Use social media</t>
  </si>
  <si>
    <t>Own phone (Age 14)</t>
  </si>
  <si>
    <t>Own phone (Age 16)</t>
  </si>
  <si>
    <t>Source: PIB</t>
  </si>
  <si>
    <t>Dataset 4: Telecom Survey (2025)</t>
  </si>
  <si>
    <t>Rural</t>
  </si>
  <si>
    <t>Urban</t>
  </si>
  <si>
    <t>Youth mobile use (15–29)</t>
  </si>
  <si>
    <t>Internet use (15–29)</t>
  </si>
  <si>
    <t>Smartphone ownership (15–29)</t>
  </si>
  <si>
    <t>Source: Ministry of Statistics (PIB).</t>
  </si>
  <si>
    <t>Dataset 5: Household Digital Access</t>
  </si>
  <si>
    <t>Households with Smartphone</t>
  </si>
  <si>
    <t>Households with Internet</t>
  </si>
  <si>
    <t>Source: Government Survey</t>
  </si>
  <si>
    <t>Dataset 6: Screen Time &amp; Social Media Impact</t>
  </si>
  <si>
    <t>Topic</t>
  </si>
  <si>
    <t>Data</t>
  </si>
  <si>
    <t>Average daily social media time</t>
  </si>
  <si>
    <t>3.2 hours</t>
  </si>
  <si>
    <t>Monthly mobile data usage</t>
  </si>
  <si>
    <t>24 GB</t>
  </si>
  <si>
    <t>Increase since 2014</t>
  </si>
  <si>
    <t>~400×</t>
  </si>
  <si>
    <t>Source: Reuters India Digital Market Report</t>
  </si>
  <si>
    <t>Dataset 7: Good Impact Table</t>
  </si>
  <si>
    <t>Impact</t>
  </si>
  <si>
    <t>Score</t>
  </si>
  <si>
    <t>Education</t>
  </si>
  <si>
    <t>Online Learning</t>
  </si>
  <si>
    <t>Business Growth</t>
  </si>
  <si>
    <t>Content Creation Income</t>
  </si>
  <si>
    <t>Emergency Communication</t>
  </si>
  <si>
    <t>Digital Payments</t>
  </si>
  <si>
    <t>Government Services</t>
  </si>
  <si>
    <t>Job Opportunities</t>
  </si>
  <si>
    <t>Dataset 8: Bad Impact Table</t>
  </si>
  <si>
    <t>Severity</t>
  </si>
  <si>
    <t>Screen Addiction</t>
  </si>
  <si>
    <t>Fake News</t>
  </si>
  <si>
    <t>Sleep Problems</t>
  </si>
  <si>
    <t>Cyberbullying</t>
  </si>
  <si>
    <t>Privacy Risk</t>
  </si>
  <si>
    <t>Mental Health</t>
  </si>
  <si>
    <t>Scam</t>
  </si>
  <si>
    <t>Dataset 9: WHO Recommendations</t>
  </si>
  <si>
    <t>Age</t>
  </si>
  <si>
    <t>Recommended Screen Time</t>
  </si>
  <si>
    <t>Below 2</t>
  </si>
  <si>
    <t>No Screen</t>
  </si>
  <si>
    <t>2–4</t>
  </si>
  <si>
    <t>Max 1 Hour</t>
  </si>
  <si>
    <t>5–13</t>
  </si>
  <si>
    <t>Parent Supervision</t>
  </si>
  <si>
    <t>14–16</t>
  </si>
  <si>
    <t>Controlled Use</t>
  </si>
  <si>
    <t>17+</t>
  </si>
  <si>
    <t>Balanced Digital Use</t>
  </si>
  <si>
    <t>Subcategory</t>
  </si>
  <si>
    <t>Unit</t>
  </si>
  <si>
    <t>Source</t>
  </si>
  <si>
    <t>Digital Growth</t>
  </si>
  <si>
    <t>Internet</t>
  </si>
  <si>
    <t>Users</t>
  </si>
  <si>
    <t>Million</t>
  </si>
  <si>
    <t>DataReportal</t>
  </si>
  <si>
    <t>Good</t>
  </si>
  <si>
    <t>Social Media</t>
  </si>
  <si>
    <t>Device</t>
  </si>
  <si>
    <t>Android</t>
  </si>
  <si>
    <t>Market Share</t>
  </si>
  <si>
    <t>%</t>
  </si>
  <si>
    <t>StatCounter</t>
  </si>
  <si>
    <t>Neutral</t>
  </si>
  <si>
    <t>iPhone</t>
  </si>
  <si>
    <t>Others</t>
  </si>
  <si>
    <t>Children</t>
  </si>
  <si>
    <t>Phone Used for Education</t>
  </si>
  <si>
    <t>PIB</t>
  </si>
  <si>
    <t>Youth</t>
  </si>
  <si>
    <t>Use Social Media</t>
  </si>
  <si>
    <t>Know Smartphone Use</t>
  </si>
  <si>
    <t>Smartphone Access at Home</t>
  </si>
  <si>
    <t>Age 14</t>
  </si>
  <si>
    <t>Own Smartphone</t>
  </si>
  <si>
    <t>Age 16</t>
  </si>
  <si>
    <t>15–29</t>
  </si>
  <si>
    <t>Mobile Use</t>
  </si>
  <si>
    <t>Internet Use</t>
  </si>
  <si>
    <t>Household</t>
  </si>
  <si>
    <t>Smartphone</t>
  </si>
  <si>
    <t>Access</t>
  </si>
  <si>
    <t>Usage</t>
  </si>
  <si>
    <t>Average Daily Time</t>
  </si>
  <si>
    <t>Hours</t>
  </si>
  <si>
    <t>Mobile Data</t>
  </si>
  <si>
    <t>Monthly Usage</t>
  </si>
  <si>
    <t>GB</t>
  </si>
  <si>
    <t>Industry Report</t>
  </si>
  <si>
    <t>Daily Time</t>
  </si>
  <si>
    <t>Bad</t>
  </si>
  <si>
    <t>Safety</t>
  </si>
  <si>
    <t>Used Social Media</t>
  </si>
  <si>
    <t>Smartphone Access</t>
  </si>
  <si>
    <t>Latest</t>
  </si>
  <si>
    <t>Health</t>
  </si>
  <si>
    <t>Age 2–4</t>
  </si>
  <si>
    <t>Recommended Max Screen Time</t>
  </si>
  <si>
    <t>Hour</t>
  </si>
  <si>
    <t>WHO</t>
  </si>
  <si>
    <t>Under 2</t>
  </si>
  <si>
    <t>KPI</t>
  </si>
  <si>
    <t>Latest Internet Users</t>
  </si>
  <si>
    <t>Latest Social Media Users</t>
  </si>
  <si>
    <t>Android Market Share</t>
  </si>
  <si>
    <t>iPhone Market Share</t>
  </si>
  <si>
    <t>Average Daily Screen Time</t>
  </si>
  <si>
    <t>Sum of Value</t>
  </si>
  <si>
    <t>Row Labels</t>
  </si>
  <si>
    <t>Grand Total</t>
  </si>
  <si>
    <t>India Smartphone &amp; Social Media Analytics (2015–2025)</t>
  </si>
  <si>
    <t>Key Insights</t>
  </si>
  <si>
    <r>
      <t xml:space="preserve">• </t>
    </r>
    <r>
      <rPr>
        <b/>
        <sz val="11"/>
        <color theme="1"/>
        <rFont val="Aptos Narrow"/>
        <family val="2"/>
        <scheme val="minor"/>
      </rPr>
      <t>806M</t>
    </r>
    <r>
      <rPr>
        <sz val="11"/>
        <color theme="1"/>
        <rFont val="Aptos Narrow"/>
        <family val="2"/>
        <scheme val="minor"/>
      </rPr>
      <t xml:space="preserve"> Internet users reached by </t>
    </r>
    <r>
      <rPr>
        <b/>
        <sz val="11"/>
        <color theme="1"/>
        <rFont val="Aptos Narrow"/>
        <family val="2"/>
        <scheme val="minor"/>
      </rPr>
      <t>2025</t>
    </r>
  </si>
  <si>
    <r>
      <t xml:space="preserve">• </t>
    </r>
    <r>
      <rPr>
        <b/>
        <sz val="11"/>
        <color theme="1"/>
        <rFont val="Aptos Narrow"/>
        <family val="2"/>
        <scheme val="minor"/>
      </rPr>
      <t>491M</t>
    </r>
    <r>
      <rPr>
        <sz val="11"/>
        <color theme="1"/>
        <rFont val="Aptos Narrow"/>
        <family val="2"/>
        <scheme val="minor"/>
      </rPr>
      <t xml:space="preserve"> Social media users by </t>
    </r>
    <r>
      <rPr>
        <b/>
        <sz val="11"/>
        <color theme="1"/>
        <rFont val="Aptos Narrow"/>
        <family val="2"/>
        <scheme val="minor"/>
      </rPr>
      <t>2025</t>
    </r>
  </si>
  <si>
    <r>
      <t xml:space="preserve">• </t>
    </r>
    <r>
      <rPr>
        <b/>
        <sz val="11"/>
        <color theme="1"/>
        <rFont val="Aptos Narrow"/>
        <family val="2"/>
        <scheme val="minor"/>
      </rPr>
      <t>95%</t>
    </r>
    <r>
      <rPr>
        <sz val="11"/>
        <color theme="1"/>
        <rFont val="Aptos Narrow"/>
        <family val="2"/>
        <scheme val="minor"/>
      </rPr>
      <t xml:space="preserve"> Android market share dominates India</t>
    </r>
  </si>
  <si>
    <r>
      <t xml:space="preserve">• </t>
    </r>
    <r>
      <rPr>
        <b/>
        <sz val="11"/>
        <color theme="1"/>
        <rFont val="Aptos Narrow"/>
        <family val="2"/>
        <scheme val="minor"/>
      </rPr>
      <t>3.2 Hours</t>
    </r>
    <r>
      <rPr>
        <sz val="11"/>
        <color theme="1"/>
        <rFont val="Aptos Narrow"/>
        <family val="2"/>
        <scheme val="minor"/>
      </rPr>
      <t xml:space="preserve"> average daily social media usage</t>
    </r>
  </si>
  <si>
    <t>Trend_Type</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</si>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</sst>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Aptos Narrow"/>
      <family val="2"/>
      <scheme val="minor"/>
    </font>
    <font>
      <b/>
      <sz val="11"/>
      <color theme="1"/>
      <name val="Aptos Narrow"/>
      <family val="2"/>
      <scheme val="minor"/>
    </font>
    <font>
      <b/>
      <sz val="11"/>
      <color rgb="FFFF0000"/>
      <name val="Aptos Narrow"/>
      <family val="2"/>
      <scheme val="minor"/>
    </font>
    <font>
      <b/>
      <sz val="10"/>
      <color rgb="FFFF0000"/>
      <name val="Aptos Narrow"/>
      <family val="2"/>
      <scheme val="minor"/>
    </font>
    <font>
      <b/>
      <sz val="20"/>
      <color theme="1"/>
      <name val="Aptos Narrow"/>
      <family val="2"/>
      <scheme val="minor"/>
    </font>
    <font>
      <sz val="14"/>
      <color theme="1"/>
      <name val="Aptos Narrow"/>
      <family val="2"/>
      <scheme val="minor"/>
    </font>
    <font>
      <b/>
      <sz val="20"/>
      <color theme="0"/>
      <name val="Aptos Narrow"/>
      <family val="2"/>
      <scheme val="minor"/>
    </font>
    <font>
      <b/>
      <sz val="16"/>
      <color theme="0"/>
      <name val="Aptos Narrow"/>
      <family val="2"/>
      <scheme val="minor"/>
    </font>
    <font>
      <sz val="8"/>
      <color theme="1"/>
      <name val="Aptos Narrow"/>
      <family val="2"/>
      <scheme val="minor"/>
    </font>
    <font>
      <b/>
      <sz val="8"/>
      <color theme="1"/>
      <name val="Aptos Narrow"/>
      <family val="2"/>
      <scheme val="minor"/>
    </font>
    <font>
      <b/>
      <sz val="14"/>
      <color theme="1"/>
      <name val="Aptos Narrow"/>
      <family val="2"/>
      <scheme val="minor"/>
    </font>
  </fonts>
  <fills count="3">
    <fill>
      <patternFill patternType="none"/>
    </fill>
    <fill>
      <patternFill patternType="gray125"/>
    </fill>
    <fill>
      <patternFill patternType="solid">
        <fgColor rgb="FF002060"/>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9" fontId="0" fillId="0" borderId="0" xfId="0" applyNumberFormat="1" applyAlignment="1">
      <alignment horizontal="center" vertical="center" wrapText="1"/>
    </xf>
    <xf numFmtId="10" fontId="0" fillId="0" borderId="0" xfId="0" applyNumberFormat="1" applyAlignment="1">
      <alignment horizontal="center" vertical="center" wrapText="1"/>
    </xf>
    <xf numFmtId="0" fontId="5" fillId="0" borderId="0" xfId="0" applyFont="1" applyAlignment="1">
      <alignment horizontal="center" vertical="center" wrapText="1"/>
    </xf>
    <xf numFmtId="0" fontId="4" fillId="0" borderId="0" xfId="0" applyFont="1" applyAlignment="1">
      <alignment horizontal="center"/>
    </xf>
    <xf numFmtId="0" fontId="6" fillId="2" borderId="0" xfId="0" applyFont="1" applyFill="1" applyAlignment="1">
      <alignment horizontal="center" vertical="center"/>
    </xf>
    <xf numFmtId="0" fontId="6" fillId="2" borderId="0" xfId="0" applyFont="1" applyFill="1" applyAlignment="1">
      <alignment horizontal="center"/>
    </xf>
    <xf numFmtId="0" fontId="0" fillId="0" borderId="0" xfId="0" pivotButton="1"/>
    <xf numFmtId="0" fontId="0" fillId="0" borderId="0" xfId="0" applyAlignment="1">
      <alignment horizontal="left"/>
    </xf>
    <xf numFmtId="0" fontId="8" fillId="0" borderId="0" xfId="0" applyFont="1"/>
    <xf numFmtId="0" fontId="9" fillId="0" borderId="0" xfId="0" applyFont="1" applyAlignment="1">
      <alignment vertical="center"/>
    </xf>
    <xf numFmtId="0" fontId="1" fillId="0" borderId="0" xfId="0" applyFont="1"/>
    <xf numFmtId="0" fontId="10" fillId="0" borderId="0" xfId="0" applyFont="1"/>
    <xf numFmtId="0" fontId="2" fillId="0" borderId="0" xfId="0" applyFont="1" applyAlignment="1">
      <alignment horizontal="center"/>
    </xf>
    <xf numFmtId="0" fontId="2" fillId="0" borderId="0" xfId="0" applyFont="1" applyAlignment="1">
      <alignment horizontal="center" vertical="center"/>
    </xf>
    <xf numFmtId="0" fontId="3" fillId="0" borderId="0" xfId="0" applyFont="1" applyAlignment="1">
      <alignment horizontal="center"/>
    </xf>
    <xf numFmtId="0" fontId="0" fillId="0" borderId="0" xfId="0" applyAlignment="1">
      <alignment horizontal="center"/>
    </xf>
    <xf numFmtId="0" fontId="2" fillId="0" borderId="0" xfId="0" applyFont="1" applyAlignment="1">
      <alignment horizontal="center" vertical="center" wrapText="1"/>
    </xf>
    <xf numFmtId="0" fontId="7" fillId="2" borderId="0" xfId="0" applyFont="1" applyFill="1" applyAlignment="1">
      <alignment horizontal="center"/>
    </xf>
  </cellXfs>
  <cellStyles count="1">
    <cellStyle name="Normal" xfId="0" builtinId="0"/>
  </cellStyles>
  <dxfs count="21">
    <dxf>
      <font>
        <color rgb="FF006100"/>
      </font>
      <fill>
        <patternFill>
          <bgColor rgb="FFC6EFCE"/>
        </patternFill>
      </fill>
    </dxf>
    <dxf>
      <font>
        <color rgb="FF9C0006"/>
      </font>
      <fill>
        <patternFill>
          <bgColor rgb="FFFFC7CE"/>
        </patternFill>
      </fill>
    </dxf>
    <dxf>
      <font>
        <color rgb="FF9C5700"/>
      </font>
      <fill>
        <patternFill>
          <bgColor rgb="FFFFEB9C"/>
        </patternFill>
      </fil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alignment horizontal="center" vertical="center" textRotation="0" wrapText="1"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2.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[India_Smartphone_Analytics_Project (1).xlsx]Pivot!PivotTable2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lumMod val="95000"/>
                    <a:lumOff val="5000"/>
                  </a:schemeClr>
                </a:solidFill>
              </a:rPr>
              <a:t>Top Social Media Platforms (2025)</a:t>
            </a:r>
            <a:endParaRPr lang="en-IN" b="1">
              <a:solidFill>
                <a:schemeClr val="tx1">
                  <a:lumMod val="95000"/>
                  <a:lumOff val="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0206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Pivot!$B$22</c:f>
              <c:strCache>
                <c:ptCount val="1"/>
                <c:pt idx="0">
                  <c:v>Total</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Pivot!$A$23:$A$27</c:f>
              <c:strCache>
                <c:ptCount val="4"/>
                <c:pt idx="0">
                  <c:v>YouTube</c:v>
                </c:pt>
                <c:pt idx="1">
                  <c:v>Instagram</c:v>
                </c:pt>
                <c:pt idx="2">
                  <c:v>Facebook</c:v>
                </c:pt>
                <c:pt idx="3">
                  <c:v>Snapchat</c:v>
                </c:pt>
              </c:strCache>
            </c:strRef>
          </c:cat>
          <c:val>
            <c:numRef>
              <c:f>Pivot!$B$23:$B$27</c:f>
              <c:numCache>
                <c:formatCode>General</c:formatCode>
                <c:ptCount val="4"/>
                <c:pt idx="0">
                  <c:v>500</c:v>
                </c:pt>
                <c:pt idx="1">
                  <c:v>414</c:v>
                </c:pt>
                <c:pt idx="2">
                  <c:v>384</c:v>
                </c:pt>
                <c:pt idx="3">
                  <c:v>213</c:v>
                </c:pt>
              </c:numCache>
            </c:numRef>
          </c:val>
          <c:extLst>
            <c:ext xmlns:c16="http://schemas.microsoft.com/office/drawing/2014/chart" uri="{C3380CC4-5D6E-409C-BE32-E72D297353CC}">
              <c16:uniqueId val="{00000000-762E-4057-81CC-4DEA45BDAFD1}"/>
            </c:ext>
          </c:extLst>
        </c:ser>
        <c:dLbls>
          <c:dLblPos val="outEnd"/>
          <c:showLegendKey val="0"/>
          <c:showVal val="1"/>
          <c:showCatName val="0"/>
          <c:showSerName val="0"/>
          <c:showPercent val="0"/>
          <c:showBubbleSize val="0"/>
        </c:dLbls>
        <c:gapWidth val="182"/>
        <c:axId val="408724063"/>
        <c:axId val="408311855"/>
      </c:barChart>
      <c:catAx>
        <c:axId val="40872406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311855"/>
        <c:crosses val="autoZero"/>
        <c:auto val="1"/>
        <c:lblAlgn val="ctr"/>
        <c:lblOffset val="100"/>
        <c:noMultiLvlLbl val="0"/>
      </c:catAx>
      <c:valAx>
        <c:axId val="408311855"/>
        <c:scaling>
          <c:orientation val="minMax"/>
        </c:scaling>
        <c:delete val="0"/>
        <c:axPos val="t"/>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08724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[India_Smartphone_Analytics_Project (1).xlsx]Pivot!PivotTable3</c:name>
    <c:fmtId val="4"/>
  </c:pivotSource>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IN" sz="1400" b="1" i="0" u="none" strike="noStrike" baseline="0">
                <a:solidFill>
                  <a:schemeClr val="tx1"/>
                </a:solidFill>
              </a:rPr>
              <a:t>Device Market Share (2025)</a:t>
            </a:r>
            <a:endParaRPr lang="en-IN" b="1">
              <a:solidFill>
                <a:schemeClr val="tx1"/>
              </a:solidFill>
            </a:endParaRPr>
          </a:p>
        </c:rich>
      </c:tx>
      <c:layout>
        <c:manualLayout>
          <c:xMode val="edge"/>
          <c:yMode val="edge"/>
          <c:x val="0.17008450694902941"/>
          <c:y val="0.161017139869007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6.153713463234888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dLbl>
          <c:idx val="0"/>
          <c:layout>
            <c:manualLayout>
              <c:x val="6.1537134632348887E-3"/>
              <c:y val="0"/>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manualLayout>
          <c:layoutTarget val="inner"/>
          <c:xMode val="edge"/>
          <c:yMode val="edge"/>
          <c:x val="0.31508334036592656"/>
          <c:y val="0.33982227957925504"/>
          <c:w val="0.2759830964694065"/>
          <c:h val="0.55825432472192049"/>
        </c:manualLayout>
      </c:layout>
      <c:doughnutChart>
        <c:varyColors val="1"/>
        <c:ser>
          <c:idx val="0"/>
          <c:order val="0"/>
          <c:tx>
            <c:strRef>
              <c:f>Pivot!$K$22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D2F7-4819-B7A6-31759F9CB05B}"/>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D2F7-4819-B7A6-31759F9CB05B}"/>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D2F7-4819-B7A6-31759F9CB05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Pivot!$J$23:$J$26</c:f>
              <c:strCache>
                <c:ptCount val="3"/>
                <c:pt idx="0">
                  <c:v>Android</c:v>
                </c:pt>
                <c:pt idx="1">
                  <c:v>iPhone</c:v>
                </c:pt>
                <c:pt idx="2">
                  <c:v>Others</c:v>
                </c:pt>
              </c:strCache>
            </c:strRef>
          </c:cat>
          <c:val>
            <c:numRef>
              <c:f>Pivot!$K$23:$K$26</c:f>
              <c:numCache>
                <c:formatCode>General</c:formatCode>
                <c:ptCount val="3"/>
                <c:pt idx="0">
                  <c:v>95</c:v>
                </c:pt>
                <c:pt idx="1">
                  <c:v>4</c:v>
                </c:pt>
                <c:pt idx="2">
                  <c:v>1</c:v>
                </c:pt>
              </c:numCache>
            </c:numRef>
          </c:val>
          <c:extLst>
            <c:ext xmlns:c16="http://schemas.microsoft.com/office/drawing/2014/chart" uri="{C3380CC4-5D6E-409C-BE32-E72D297353CC}">
              <c16:uniqueId val="{00000006-D2F7-4819-B7A6-31759F9CB05B}"/>
            </c:ext>
          </c:extLst>
        </c:ser>
        <c:dLbls>
          <c:showLegendKey val="0"/>
          <c:showVal val="1"/>
          <c:showCatName val="0"/>
          <c:showSerName val="0"/>
          <c:showPercent val="0"/>
          <c:showBubbleSize val="0"/>
          <c:showLeaderLines val="1"/>
        </c:dLbls>
        <c:firstSliceAng val="0"/>
        <c:holeSize val="7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[India_Smartphone_Analytics_Project (1).xlsx]Pivot!PivotTable5</c:name>
    <c:fmtId val="5"/>
  </c:pivotSource>
  <c:chart>
    <c:title>
      <c:tx>
        <c:rich>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r>
              <a:rPr lang="en-IN" sz="1400" b="1" i="0" u="none" strike="noStrike" baseline="0">
                <a:solidFill>
                  <a:schemeClr val="tx1">
                    <a:lumMod val="95000"/>
                    <a:lumOff val="5000"/>
                  </a:schemeClr>
                </a:solidFill>
              </a:rPr>
              <a:t>Internet &amp; Social Media Users Growth (2015–2025)</a:t>
            </a:r>
            <a:endParaRPr lang="en-US" b="1">
              <a:solidFill>
                <a:schemeClr val="tx1">
                  <a:lumMod val="95000"/>
                  <a:lumOff val="5000"/>
                </a:schemeClr>
              </a:solidFill>
            </a:endParaRPr>
          </a:p>
        </c:rich>
      </c:tx>
      <c:layout>
        <c:manualLayout>
          <c:xMode val="edge"/>
          <c:yMode val="edge"/>
          <c:x val="0.13627090209020903"/>
          <c:y val="4.212271973466003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Pivot!$F$3</c:f>
              <c:strCache>
                <c:ptCount val="1"/>
                <c:pt idx="0">
                  <c:v>Total</c:v>
                </c:pt>
              </c:strCache>
            </c:strRef>
          </c:tx>
          <c:spPr>
            <a:ln w="28575" cap="rnd">
              <a:solidFill>
                <a:schemeClr val="accent1"/>
              </a:solidFill>
              <a:round/>
            </a:ln>
            <a:effectLst/>
          </c:spPr>
          <c:marker>
            <c:symbol val="none"/>
          </c:marker>
          <c:cat>
            <c:strRef>
              <c:f>Pivot!$E$4:$E$15</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Pivot!$F$4:$F$15</c:f>
              <c:numCache>
                <c:formatCode>General</c:formatCode>
                <c:ptCount val="11"/>
                <c:pt idx="0">
                  <c:v>142</c:v>
                </c:pt>
                <c:pt idx="1">
                  <c:v>168</c:v>
                </c:pt>
                <c:pt idx="2">
                  <c:v>239</c:v>
                </c:pt>
                <c:pt idx="3">
                  <c:v>326</c:v>
                </c:pt>
                <c:pt idx="4">
                  <c:v>351</c:v>
                </c:pt>
                <c:pt idx="5">
                  <c:v>376</c:v>
                </c:pt>
                <c:pt idx="6">
                  <c:v>448</c:v>
                </c:pt>
                <c:pt idx="7">
                  <c:v>467</c:v>
                </c:pt>
                <c:pt idx="8">
                  <c:v>462</c:v>
                </c:pt>
                <c:pt idx="9">
                  <c:v>462</c:v>
                </c:pt>
                <c:pt idx="10">
                  <c:v>497.4</c:v>
                </c:pt>
              </c:numCache>
            </c:numRef>
          </c:val>
          <c:smooth val="0"/>
          <c:extLst>
            <c:ext xmlns:c16="http://schemas.microsoft.com/office/drawing/2014/chart" uri="{C3380CC4-5D6E-409C-BE32-E72D297353CC}">
              <c16:uniqueId val="{00000000-BF21-475D-BA9D-F5984D07103E}"/>
            </c:ext>
          </c:extLst>
        </c:ser>
        <c:dLbls>
          <c:showLegendKey val="0"/>
          <c:showVal val="0"/>
          <c:showCatName val="0"/>
          <c:showSerName val="0"/>
          <c:showPercent val="0"/>
          <c:showBubbleSize val="0"/>
        </c:dLbls>
        <c:smooth val="0"/>
        <c:axId val="749200703"/>
        <c:axId val="579722351"/>
      </c:lineChart>
      <c:catAx>
        <c:axId val="749200703"/>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722351"/>
        <c:crosses val="autoZero"/>
        <c:auto val="1"/>
        <c:lblAlgn val="ctr"/>
        <c:lblOffset val="100"/>
        <c:noMultiLvlLbl val="0"/>
      </c:catAx>
      <c:valAx>
        <c:axId val="5797223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492007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118980</xdr:colOff>
      <xdr:row>2</xdr:row>
      <xdr:rowOff>36095</xdr:rowOff>
    </xdr:from>
    <xdr:to>
      <xdr:col>1</xdr:col>
      <xdr:colOff>559246</xdr:colOff>
      <xdr:row>5</xdr:row>
      <xdr:rowOff>2229</xdr:rowOff>
    </xdr:to>
    <xdr:sp macro="" textlink="">
      <xdr:nvSpPr>
        <xdr:cNvPr id="3" name="Rectangle: Rounded Corners 2">
          <a:extLst>
            <a:ext uri="{FF2B5EF4-FFF2-40B4-BE49-F238E27FC236}">
              <a16:creationId xmlns:a16="http://schemas.microsoft.com/office/drawing/2014/main" id="{C8216F30-B2A2-C417-0478-37D9BEBC8528}"/>
            </a:ext>
          </a:extLst>
        </xdr:cNvPr>
        <xdr:cNvSpPr/>
      </xdr:nvSpPr>
      <xdr:spPr>
        <a:xfrm>
          <a:off x="118980" y="486165"/>
          <a:ext cx="1050757" cy="514239"/>
        </a:xfrm>
        <a:prstGeom prst="roundRect">
          <a:avLst/>
        </a:prstGeom>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800"/>
            <a:t>🌐 </a:t>
          </a:r>
          <a:r>
            <a:rPr lang="en-IN" sz="800">
              <a:solidFill>
                <a:schemeClr val="bg1"/>
              </a:solidFill>
            </a:rPr>
            <a:t>Internet Users</a:t>
          </a:r>
        </a:p>
        <a:p>
          <a:pPr algn="l"/>
          <a:r>
            <a:rPr lang="en-IN" sz="1200" b="1">
              <a:solidFill>
                <a:schemeClr val="tx1">
                  <a:lumMod val="95000"/>
                  <a:lumOff val="5000"/>
                </a:schemeClr>
              </a:solidFill>
            </a:rPr>
            <a:t>        806M</a:t>
          </a:r>
        </a:p>
      </xdr:txBody>
    </xdr:sp>
    <xdr:clientData/>
  </xdr:twoCellAnchor>
  <xdr:twoCellAnchor>
    <xdr:from>
      <xdr:col>2</xdr:col>
      <xdr:colOff>129228</xdr:colOff>
      <xdr:row>2</xdr:row>
      <xdr:rowOff>44562</xdr:rowOff>
    </xdr:from>
    <xdr:to>
      <xdr:col>3</xdr:col>
      <xdr:colOff>569493</xdr:colOff>
      <xdr:row>5</xdr:row>
      <xdr:rowOff>10696</xdr:rowOff>
    </xdr:to>
    <xdr:sp macro="" textlink="">
      <xdr:nvSpPr>
        <xdr:cNvPr id="10" name="Rectangle: Rounded Corners 9">
          <a:extLst>
            <a:ext uri="{FF2B5EF4-FFF2-40B4-BE49-F238E27FC236}">
              <a16:creationId xmlns:a16="http://schemas.microsoft.com/office/drawing/2014/main" id="{55A87523-EC64-495E-B0F3-48E4BE50370C}"/>
            </a:ext>
          </a:extLst>
        </xdr:cNvPr>
        <xdr:cNvSpPr/>
      </xdr:nvSpPr>
      <xdr:spPr>
        <a:xfrm>
          <a:off x="1350210" y="494632"/>
          <a:ext cx="1050757" cy="514239"/>
        </a:xfrm>
        <a:prstGeom prst="roundRect">
          <a:avLst/>
        </a:prstGeom>
        <a:solidFill>
          <a:schemeClr val="accent2">
            <a:lumMod val="75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900"/>
            <a:t>👥 Social Media </a:t>
          </a:r>
          <a:r>
            <a:rPr lang="en-IN" sz="900">
              <a:solidFill>
                <a:schemeClr val="bg1"/>
              </a:solidFill>
            </a:rPr>
            <a:t> </a:t>
          </a:r>
        </a:p>
        <a:p>
          <a:pPr algn="l"/>
          <a:r>
            <a:rPr lang="en-IN" sz="1200" b="1">
              <a:solidFill>
                <a:schemeClr val="tx1">
                  <a:lumMod val="95000"/>
                  <a:lumOff val="5000"/>
                </a:schemeClr>
              </a:solidFill>
            </a:rPr>
            <a:t>        491M</a:t>
          </a:r>
        </a:p>
      </xdr:txBody>
    </xdr:sp>
    <xdr:clientData/>
  </xdr:twoCellAnchor>
  <xdr:twoCellAnchor>
    <xdr:from>
      <xdr:col>4</xdr:col>
      <xdr:colOff>142596</xdr:colOff>
      <xdr:row>2</xdr:row>
      <xdr:rowOff>49018</xdr:rowOff>
    </xdr:from>
    <xdr:to>
      <xdr:col>5</xdr:col>
      <xdr:colOff>582862</xdr:colOff>
      <xdr:row>5</xdr:row>
      <xdr:rowOff>15152</xdr:rowOff>
    </xdr:to>
    <xdr:sp macro="" textlink="">
      <xdr:nvSpPr>
        <xdr:cNvPr id="4" name="Rectangle: Rounded Corners 3">
          <a:extLst>
            <a:ext uri="{FF2B5EF4-FFF2-40B4-BE49-F238E27FC236}">
              <a16:creationId xmlns:a16="http://schemas.microsoft.com/office/drawing/2014/main" id="{4C0A72B6-D6B7-422B-BABC-252D3B240CF2}"/>
            </a:ext>
          </a:extLst>
        </xdr:cNvPr>
        <xdr:cNvSpPr/>
      </xdr:nvSpPr>
      <xdr:spPr>
        <a:xfrm>
          <a:off x="2584561" y="499088"/>
          <a:ext cx="1050757" cy="514239"/>
        </a:xfrm>
        <a:prstGeom prst="roundRect">
          <a:avLst/>
        </a:prstGeom>
        <a:solidFill>
          <a:srgbClr val="7030A0"/>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900"/>
            <a:t>     🤖 Android </a:t>
          </a:r>
        </a:p>
        <a:p>
          <a:pPr algn="l"/>
          <a:r>
            <a:rPr lang="en-IN" sz="1200" b="1">
              <a:solidFill>
                <a:schemeClr val="tx1">
                  <a:lumMod val="95000"/>
                  <a:lumOff val="5000"/>
                </a:schemeClr>
              </a:solidFill>
            </a:rPr>
            <a:t>          95%</a:t>
          </a:r>
        </a:p>
      </xdr:txBody>
    </xdr:sp>
    <xdr:clientData/>
  </xdr:twoCellAnchor>
  <xdr:twoCellAnchor>
    <xdr:from>
      <xdr:col>6</xdr:col>
      <xdr:colOff>124772</xdr:colOff>
      <xdr:row>2</xdr:row>
      <xdr:rowOff>40106</xdr:rowOff>
    </xdr:from>
    <xdr:to>
      <xdr:col>7</xdr:col>
      <xdr:colOff>565037</xdr:colOff>
      <xdr:row>5</xdr:row>
      <xdr:rowOff>6240</xdr:rowOff>
    </xdr:to>
    <xdr:sp macro="" textlink="">
      <xdr:nvSpPr>
        <xdr:cNvPr id="6" name="Rectangle: Rounded Corners 5">
          <a:extLst>
            <a:ext uri="{FF2B5EF4-FFF2-40B4-BE49-F238E27FC236}">
              <a16:creationId xmlns:a16="http://schemas.microsoft.com/office/drawing/2014/main" id="{3BB081C7-81C0-4EB0-8585-6C343CD7780D}"/>
            </a:ext>
          </a:extLst>
        </xdr:cNvPr>
        <xdr:cNvSpPr/>
      </xdr:nvSpPr>
      <xdr:spPr>
        <a:xfrm>
          <a:off x="3787719" y="490176"/>
          <a:ext cx="1050757" cy="514239"/>
        </a:xfrm>
        <a:prstGeom prst="roundRect">
          <a:avLst/>
        </a:prstGeom>
        <a:solidFill>
          <a:schemeClr val="accent6">
            <a:lumMod val="50000"/>
          </a:schemeClr>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900"/>
            <a:t>⏱️ Screen Time</a:t>
          </a:r>
        </a:p>
        <a:p>
          <a:pPr algn="l"/>
          <a:r>
            <a:rPr lang="en-IN" sz="1200" b="1">
              <a:solidFill>
                <a:schemeClr val="tx1">
                  <a:lumMod val="95000"/>
                  <a:lumOff val="5000"/>
                </a:schemeClr>
              </a:solidFill>
            </a:rPr>
            <a:t>     </a:t>
          </a:r>
          <a:r>
            <a:rPr lang="en-IN" sz="1200" b="1" baseline="0">
              <a:solidFill>
                <a:schemeClr val="tx1">
                  <a:lumMod val="95000"/>
                  <a:lumOff val="5000"/>
                </a:schemeClr>
              </a:solidFill>
            </a:rPr>
            <a:t> </a:t>
          </a:r>
          <a:r>
            <a:rPr lang="en-IN" sz="1200" b="1">
              <a:solidFill>
                <a:schemeClr val="tx1">
                  <a:lumMod val="95000"/>
                  <a:lumOff val="5000"/>
                </a:schemeClr>
              </a:solidFill>
            </a:rPr>
            <a:t>3.2</a:t>
          </a:r>
          <a:r>
            <a:rPr lang="en-IN" sz="1200" b="1" baseline="0">
              <a:solidFill>
                <a:schemeClr val="tx1">
                  <a:lumMod val="95000"/>
                  <a:lumOff val="5000"/>
                </a:schemeClr>
              </a:solidFill>
            </a:rPr>
            <a:t> Hours</a:t>
          </a:r>
          <a:endParaRPr lang="en-IN" sz="1200" b="1">
            <a:solidFill>
              <a:schemeClr val="tx1">
                <a:lumMod val="95000"/>
                <a:lumOff val="5000"/>
              </a:schemeClr>
            </a:solidFill>
          </a:endParaRPr>
        </a:p>
      </xdr:txBody>
    </xdr:sp>
    <xdr:clientData/>
  </xdr:twoCellAnchor>
  <xdr:twoCellAnchor>
    <xdr:from>
      <xdr:col>6</xdr:col>
      <xdr:colOff>11746</xdr:colOff>
      <xdr:row>6</xdr:row>
      <xdr:rowOff>100262</xdr:rowOff>
    </xdr:from>
    <xdr:to>
      <xdr:col>11</xdr:col>
      <xdr:colOff>589720</xdr:colOff>
      <xdr:row>19</xdr:row>
      <xdr:rowOff>166104</xdr:rowOff>
    </xdr:to>
    <xdr:graphicFrame macro="">
      <xdr:nvGraphicFramePr>
        <xdr:cNvPr id="5" name="Chart 4">
          <a:extLst>
            <a:ext uri="{FF2B5EF4-FFF2-40B4-BE49-F238E27FC236}">
              <a16:creationId xmlns:a16="http://schemas.microsoft.com/office/drawing/2014/main" id="{97BB39F4-CE80-4442-BD72-4EB558988A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30079</xdr:colOff>
      <xdr:row>20</xdr:row>
      <xdr:rowOff>31224</xdr:rowOff>
    </xdr:from>
    <xdr:to>
      <xdr:col>6</xdr:col>
      <xdr:colOff>8479</xdr:colOff>
      <xdr:row>33</xdr:row>
      <xdr:rowOff>14984</xdr:rowOff>
    </xdr:to>
    <xdr:graphicFrame macro="">
      <xdr:nvGraphicFramePr>
        <xdr:cNvPr id="8" name="Chart 7">
          <a:extLst>
            <a:ext uri="{FF2B5EF4-FFF2-40B4-BE49-F238E27FC236}">
              <a16:creationId xmlns:a16="http://schemas.microsoft.com/office/drawing/2014/main" id="{05540181-76DF-4B8D-869A-F16E5F26FD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225626</xdr:colOff>
      <xdr:row>26</xdr:row>
      <xdr:rowOff>142788</xdr:rowOff>
    </xdr:from>
    <xdr:to>
      <xdr:col>3</xdr:col>
      <xdr:colOff>138541</xdr:colOff>
      <xdr:row>29</xdr:row>
      <xdr:rowOff>55704</xdr:rowOff>
    </xdr:to>
    <xdr:sp macro="" textlink="">
      <xdr:nvSpPr>
        <xdr:cNvPr id="11" name="TextBox 10">
          <a:extLst>
            <a:ext uri="{FF2B5EF4-FFF2-40B4-BE49-F238E27FC236}">
              <a16:creationId xmlns:a16="http://schemas.microsoft.com/office/drawing/2014/main" id="{8D6BAB9D-8870-4F48-ACAB-140F54FC0402}"/>
            </a:ext>
          </a:extLst>
        </xdr:cNvPr>
        <xdr:cNvSpPr txBox="1"/>
      </xdr:nvSpPr>
      <xdr:spPr>
        <a:xfrm>
          <a:off x="1444826" y="5029748"/>
          <a:ext cx="522515" cy="4615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95%</a:t>
          </a:r>
        </a:p>
        <a:p>
          <a:r>
            <a:rPr lang="en-IN" sz="800" b="0"/>
            <a:t>Android</a:t>
          </a:r>
        </a:p>
        <a:p>
          <a:endParaRPr lang="en-IN" sz="2000" b="1"/>
        </a:p>
      </xdr:txBody>
    </xdr:sp>
    <xdr:clientData/>
  </xdr:twoCellAnchor>
  <xdr:twoCellAnchor>
    <xdr:from>
      <xdr:col>6</xdr:col>
      <xdr:colOff>27215</xdr:colOff>
      <xdr:row>19</xdr:row>
      <xdr:rowOff>141514</xdr:rowOff>
    </xdr:from>
    <xdr:to>
      <xdr:col>12</xdr:col>
      <xdr:colOff>342901</xdr:colOff>
      <xdr:row>31</xdr:row>
      <xdr:rowOff>141515</xdr:rowOff>
    </xdr:to>
    <xdr:sp macro="" textlink="">
      <xdr:nvSpPr>
        <xdr:cNvPr id="12" name="Rectangle 11">
          <a:extLst>
            <a:ext uri="{FF2B5EF4-FFF2-40B4-BE49-F238E27FC236}">
              <a16:creationId xmlns:a16="http://schemas.microsoft.com/office/drawing/2014/main" id="{FFC7A041-CB32-CA66-0708-7989C7B7B584}"/>
            </a:ext>
          </a:extLst>
        </xdr:cNvPr>
        <xdr:cNvSpPr/>
      </xdr:nvSpPr>
      <xdr:spPr>
        <a:xfrm>
          <a:off x="3684815" y="3739243"/>
          <a:ext cx="3973286" cy="2220686"/>
        </a:xfrm>
        <a:prstGeom prst="rect">
          <a:avLst/>
        </a:prstGeom>
        <a:noFill/>
        <a:ln>
          <a:no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endParaRPr lang="en-IN" sz="1100"/>
        </a:p>
      </xdr:txBody>
    </xdr:sp>
    <xdr:clientData/>
  </xdr:twoCellAnchor>
  <xdr:twoCellAnchor>
    <xdr:from>
      <xdr:col>6</xdr:col>
      <xdr:colOff>17188</xdr:colOff>
      <xdr:row>20</xdr:row>
      <xdr:rowOff>31224</xdr:rowOff>
    </xdr:from>
    <xdr:to>
      <xdr:col>11</xdr:col>
      <xdr:colOff>599440</xdr:colOff>
      <xdr:row>33</xdr:row>
      <xdr:rowOff>14984</xdr:rowOff>
    </xdr:to>
    <xdr:sp macro="" textlink="">
      <xdr:nvSpPr>
        <xdr:cNvPr id="13" name="Rectangle 12">
          <a:extLst>
            <a:ext uri="{FF2B5EF4-FFF2-40B4-BE49-F238E27FC236}">
              <a16:creationId xmlns:a16="http://schemas.microsoft.com/office/drawing/2014/main" id="{7B8B6E06-5FF9-022C-B906-99FA25B80C2A}"/>
            </a:ext>
          </a:extLst>
        </xdr:cNvPr>
        <xdr:cNvSpPr/>
      </xdr:nvSpPr>
      <xdr:spPr>
        <a:xfrm>
          <a:off x="3674788" y="3770104"/>
          <a:ext cx="3630252" cy="2412000"/>
        </a:xfrm>
        <a:prstGeom prst="rect">
          <a:avLst/>
        </a:prstGeom>
        <a:no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10</xdr:col>
      <xdr:colOff>300788</xdr:colOff>
      <xdr:row>1</xdr:row>
      <xdr:rowOff>145676</xdr:rowOff>
    </xdr:from>
    <xdr:to>
      <xdr:col>11</xdr:col>
      <xdr:colOff>589183</xdr:colOff>
      <xdr:row>6</xdr:row>
      <xdr:rowOff>71308</xdr:rowOff>
    </xdr:to>
    <mc:AlternateContent xmlns:mc="http://schemas.openxmlformats.org/markup-compatibility/2006" xmlns:a14="http://schemas.microsoft.com/office/drawing/2010/main">
      <mc:Choice Requires="a14">
        <xdr:graphicFrame macro="">
          <xdr:nvGraphicFramePr>
            <xdr:cNvPr id="9" name="Year">
              <a:extLst>
                <a:ext uri="{FF2B5EF4-FFF2-40B4-BE49-F238E27FC236}">
                  <a16:creationId xmlns:a16="http://schemas.microsoft.com/office/drawing/2014/main" id="{C768AEB3-012D-4C9F-A5D9-D6840EDCCF16}"/>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6416841" y="416387"/>
              <a:ext cx="900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591551</xdr:colOff>
      <xdr:row>1</xdr:row>
      <xdr:rowOff>140371</xdr:rowOff>
    </xdr:from>
    <xdr:to>
      <xdr:col>10</xdr:col>
      <xdr:colOff>268340</xdr:colOff>
      <xdr:row>6</xdr:row>
      <xdr:rowOff>66003</xdr:rowOff>
    </xdr:to>
    <mc:AlternateContent xmlns:mc="http://schemas.openxmlformats.org/markup-compatibility/2006" xmlns:a14="http://schemas.microsoft.com/office/drawing/2010/main">
      <mc:Choice Requires="a14">
        <xdr:graphicFrame macro="">
          <xdr:nvGraphicFramePr>
            <xdr:cNvPr id="16" name="Trend_Type">
              <a:extLst>
                <a:ext uri="{FF2B5EF4-FFF2-40B4-BE49-F238E27FC236}">
                  <a16:creationId xmlns:a16="http://schemas.microsoft.com/office/drawing/2014/main" id="{1BF98CB8-7041-40EC-AD28-0EFD2C1DF2E9}"/>
                </a:ext>
              </a:extLst>
            </xdr:cNvPr>
            <xdr:cNvGraphicFramePr/>
          </xdr:nvGraphicFramePr>
          <xdr:xfrm>
            <a:off x="0" y="0"/>
            <a:ext cx="0" cy="0"/>
          </xdr:xfrm>
          <a:graphic>
            <a:graphicData uri="http://schemas.microsoft.com/office/drawing/2010/slicer">
              <sle:slicer xmlns:sle="http://schemas.microsoft.com/office/drawing/2010/slicer" name="Trend_Type"/>
            </a:graphicData>
          </a:graphic>
        </xdr:graphicFrame>
      </mc:Choice>
      <mc:Fallback xmlns="">
        <xdr:sp macro="" textlink="">
          <xdr:nvSpPr>
            <xdr:cNvPr id="0" name=""/>
            <xdr:cNvSpPr>
              <a:spLocks noTextEdit="1"/>
            </xdr:cNvSpPr>
          </xdr:nvSpPr>
          <xdr:spPr>
            <a:xfrm>
              <a:off x="5484393" y="411082"/>
              <a:ext cx="900000" cy="828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30078</xdr:colOff>
      <xdr:row>6</xdr:row>
      <xdr:rowOff>100263</xdr:rowOff>
    </xdr:from>
    <xdr:to>
      <xdr:col>5</xdr:col>
      <xdr:colOff>608052</xdr:colOff>
      <xdr:row>19</xdr:row>
      <xdr:rowOff>166105</xdr:rowOff>
    </xdr:to>
    <xdr:graphicFrame macro="">
      <xdr:nvGraphicFramePr>
        <xdr:cNvPr id="18" name="Chart 17">
          <a:extLst>
            <a:ext uri="{FF2B5EF4-FFF2-40B4-BE49-F238E27FC236}">
              <a16:creationId xmlns:a16="http://schemas.microsoft.com/office/drawing/2014/main" id="{B418FEC5-511D-4724-A8AC-69D0F395AC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JSHRI PC" refreshedDate="46278.837961689816" createdVersion="8" refreshedVersion="8" minRefreshableVersion="3" recordCount="48" xr:uid="{BB1825DB-571E-40C2-9646-76E64EC44DD2}">
  <cacheSource type="worksheet">
    <worksheetSource name="tbl_MasterData"/>
  </cacheSource>
  <cacheFields count="9">
    <cacheField name="Year" numFmtId="0">
      <sharedItems containsMixedTypes="1" containsNumber="1" containsInteger="1" minValue="2015" maxValue="2025" count="12">
        <n v="2015"/>
        <n v="2016"/>
        <n v="2017"/>
        <n v="2018"/>
        <n v="2019"/>
        <n v="2020"/>
        <n v="2021"/>
        <n v="2022"/>
        <n v="2023"/>
        <n v="2024"/>
        <n v="2025"/>
        <s v="Latest"/>
      </sharedItems>
    </cacheField>
    <cacheField name="Category" numFmtId="0">
      <sharedItems count="11">
        <s v="Digital Growth"/>
        <s v="Platform"/>
        <s v="Device"/>
        <s v="Education"/>
        <s v="Youth"/>
        <s v="Rural"/>
        <s v="Urban"/>
        <s v="Household"/>
        <s v="Usage"/>
        <s v="Safety"/>
        <s v="Health"/>
      </sharedItems>
    </cacheField>
    <cacheField name="Subcategory" numFmtId="0">
      <sharedItems count="18">
        <s v="Internet"/>
        <s v="Social Media"/>
        <s v="YouTube"/>
        <s v="Instagram"/>
        <s v="Facebook"/>
        <s v="Snapchat"/>
        <s v="Android"/>
        <s v="iPhone"/>
        <s v="Others"/>
        <s v="Children"/>
        <s v="14–16"/>
        <s v="Age 14"/>
        <s v="Age 16"/>
        <s v="15–29"/>
        <s v="Smartphone"/>
        <s v="Mobile Data"/>
        <s v="Age 2–4"/>
        <s v="Under 2"/>
      </sharedItems>
    </cacheField>
    <cacheField name="Metric" numFmtId="0">
      <sharedItems/>
    </cacheField>
    <cacheField name="Value" numFmtId="0">
      <sharedItems containsSemiMixedTypes="0" containsString="0" containsNumber="1" minValue="0" maxValue="806"/>
    </cacheField>
    <cacheField name="Unit" numFmtId="0">
      <sharedItems/>
    </cacheField>
    <cacheField name="Source" numFmtId="0">
      <sharedItems/>
    </cacheField>
    <cacheField name="Impact" numFmtId="0">
      <sharedItems/>
    </cacheField>
    <cacheField name="Trend_Type" numFmtId="0">
      <sharedItems count="3">
        <s v="Internet"/>
        <s v="Social Media"/>
        <s v=""/>
      </sharedItems>
    </cacheField>
  </cacheFields>
  <extLst>
    <ext xmlns:x14="http://schemas.microsoft.com/office/spreadsheetml/2009/9/main" uri="{725AE2AE-9491-48be-B2B4-4EB974FC3084}">
      <x14:pivotCacheDefinition pivotCacheId="10209160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x v="0"/>
    <x v="0"/>
    <s v="Users"/>
    <n v="302"/>
    <s v="Million"/>
    <s v="DataReportal"/>
    <s v="Good"/>
    <x v="0"/>
  </r>
  <r>
    <x v="1"/>
    <x v="0"/>
    <x v="0"/>
    <s v="Users"/>
    <n v="342"/>
    <s v="Million"/>
    <s v="DataReportal"/>
    <s v="Good"/>
    <x v="0"/>
  </r>
  <r>
    <x v="2"/>
    <x v="0"/>
    <x v="0"/>
    <s v="Users"/>
    <n v="391"/>
    <s v="Million"/>
    <s v="DataReportal"/>
    <s v="Good"/>
    <x v="0"/>
  </r>
  <r>
    <x v="3"/>
    <x v="0"/>
    <x v="0"/>
    <s v="Users"/>
    <n v="483"/>
    <s v="Million"/>
    <s v="DataReportal"/>
    <s v="Good"/>
    <x v="0"/>
  </r>
  <r>
    <x v="4"/>
    <x v="0"/>
    <x v="0"/>
    <s v="Users"/>
    <n v="560"/>
    <s v="Million"/>
    <s v="DataReportal"/>
    <s v="Good"/>
    <x v="0"/>
  </r>
  <r>
    <x v="5"/>
    <x v="0"/>
    <x v="0"/>
    <s v="Users"/>
    <n v="624"/>
    <s v="Million"/>
    <s v="DataReportal"/>
    <s v="Good"/>
    <x v="0"/>
  </r>
  <r>
    <x v="6"/>
    <x v="0"/>
    <x v="0"/>
    <s v="Users"/>
    <n v="658"/>
    <s v="Million"/>
    <s v="DataReportal"/>
    <s v="Good"/>
    <x v="0"/>
  </r>
  <r>
    <x v="7"/>
    <x v="0"/>
    <x v="0"/>
    <s v="Users"/>
    <n v="692"/>
    <s v="Million"/>
    <s v="DataReportal"/>
    <s v="Good"/>
    <x v="0"/>
  </r>
  <r>
    <x v="8"/>
    <x v="0"/>
    <x v="0"/>
    <s v="Users"/>
    <n v="751"/>
    <s v="Million"/>
    <s v="DataReportal"/>
    <s v="Good"/>
    <x v="0"/>
  </r>
  <r>
    <x v="9"/>
    <x v="0"/>
    <x v="0"/>
    <s v="Users"/>
    <n v="757"/>
    <s v="Million"/>
    <s v="DataReportal"/>
    <s v="Good"/>
    <x v="0"/>
  </r>
  <r>
    <x v="10"/>
    <x v="0"/>
    <x v="0"/>
    <s v="Users"/>
    <n v="806"/>
    <s v="Million"/>
    <s v="DataReportal"/>
    <s v="Good"/>
    <x v="0"/>
  </r>
  <r>
    <x v="0"/>
    <x v="0"/>
    <x v="1"/>
    <s v="Users"/>
    <n v="142"/>
    <s v="Million"/>
    <s v="DataReportal"/>
    <s v="Good"/>
    <x v="1"/>
  </r>
  <r>
    <x v="1"/>
    <x v="0"/>
    <x v="1"/>
    <s v="Users"/>
    <n v="168"/>
    <s v="Million"/>
    <s v="DataReportal"/>
    <s v="Good"/>
    <x v="1"/>
  </r>
  <r>
    <x v="2"/>
    <x v="0"/>
    <x v="1"/>
    <s v="Users"/>
    <n v="239"/>
    <s v="Million"/>
    <s v="DataReportal"/>
    <s v="Good"/>
    <x v="1"/>
  </r>
  <r>
    <x v="3"/>
    <x v="0"/>
    <x v="1"/>
    <s v="Users"/>
    <n v="326"/>
    <s v="Million"/>
    <s v="DataReportal"/>
    <s v="Good"/>
    <x v="1"/>
  </r>
  <r>
    <x v="4"/>
    <x v="0"/>
    <x v="1"/>
    <s v="Users"/>
    <n v="351"/>
    <s v="Million"/>
    <s v="DataReportal"/>
    <s v="Good"/>
    <x v="1"/>
  </r>
  <r>
    <x v="5"/>
    <x v="0"/>
    <x v="1"/>
    <s v="Users"/>
    <n v="376"/>
    <s v="Million"/>
    <s v="DataReportal"/>
    <s v="Good"/>
    <x v="1"/>
  </r>
  <r>
    <x v="6"/>
    <x v="0"/>
    <x v="1"/>
    <s v="Users"/>
    <n v="448"/>
    <s v="Million"/>
    <s v="DataReportal"/>
    <s v="Good"/>
    <x v="1"/>
  </r>
  <r>
    <x v="7"/>
    <x v="0"/>
    <x v="1"/>
    <s v="Users"/>
    <n v="467"/>
    <s v="Million"/>
    <s v="DataReportal"/>
    <s v="Good"/>
    <x v="1"/>
  </r>
  <r>
    <x v="8"/>
    <x v="0"/>
    <x v="1"/>
    <s v="Users"/>
    <n v="462"/>
    <s v="Million"/>
    <s v="DataReportal"/>
    <s v="Good"/>
    <x v="1"/>
  </r>
  <r>
    <x v="9"/>
    <x v="0"/>
    <x v="1"/>
    <s v="Users"/>
    <n v="462"/>
    <s v="Million"/>
    <s v="DataReportal"/>
    <s v="Good"/>
    <x v="1"/>
  </r>
  <r>
    <x v="10"/>
    <x v="0"/>
    <x v="1"/>
    <s v="Users"/>
    <n v="491"/>
    <s v="Million"/>
    <s v="DataReportal"/>
    <s v="Good"/>
    <x v="1"/>
  </r>
  <r>
    <x v="10"/>
    <x v="1"/>
    <x v="2"/>
    <s v="Users"/>
    <n v="500"/>
    <s v="Million"/>
    <s v="DataReportal"/>
    <s v="Good"/>
    <x v="2"/>
  </r>
  <r>
    <x v="10"/>
    <x v="1"/>
    <x v="3"/>
    <s v="Users"/>
    <n v="414"/>
    <s v="Million"/>
    <s v="DataReportal"/>
    <s v="Good"/>
    <x v="2"/>
  </r>
  <r>
    <x v="10"/>
    <x v="1"/>
    <x v="4"/>
    <s v="Users"/>
    <n v="384"/>
    <s v="Million"/>
    <s v="DataReportal"/>
    <s v="Good"/>
    <x v="2"/>
  </r>
  <r>
    <x v="10"/>
    <x v="1"/>
    <x v="5"/>
    <s v="Users"/>
    <n v="213"/>
    <s v="Million"/>
    <s v="DataReportal"/>
    <s v="Good"/>
    <x v="2"/>
  </r>
  <r>
    <x v="10"/>
    <x v="2"/>
    <x v="6"/>
    <s v="Market Share"/>
    <n v="95"/>
    <s v="%"/>
    <s v="StatCounter"/>
    <s v="Neutral"/>
    <x v="2"/>
  </r>
  <r>
    <x v="10"/>
    <x v="2"/>
    <x v="7"/>
    <s v="Market Share"/>
    <n v="4"/>
    <s v="%"/>
    <s v="StatCounter"/>
    <s v="Neutral"/>
    <x v="2"/>
  </r>
  <r>
    <x v="10"/>
    <x v="2"/>
    <x v="8"/>
    <s v="Market Share"/>
    <n v="1"/>
    <s v="%"/>
    <s v="StatCounter"/>
    <s v="Neutral"/>
    <x v="2"/>
  </r>
  <r>
    <x v="9"/>
    <x v="3"/>
    <x v="9"/>
    <s v="Phone Used for Education"/>
    <n v="57"/>
    <s v="%"/>
    <s v="PIB"/>
    <s v="Good"/>
    <x v="2"/>
  </r>
  <r>
    <x v="9"/>
    <x v="4"/>
    <x v="10"/>
    <s v="Use Social Media"/>
    <n v="76"/>
    <s v="%"/>
    <s v="PIB"/>
    <s v="Neutral"/>
    <x v="2"/>
  </r>
  <r>
    <x v="9"/>
    <x v="4"/>
    <x v="10"/>
    <s v="Know Smartphone Use"/>
    <n v="82.2"/>
    <s v="%"/>
    <s v="PIB"/>
    <s v="Neutral"/>
    <x v="2"/>
  </r>
  <r>
    <x v="9"/>
    <x v="4"/>
    <x v="10"/>
    <s v="Smartphone Access at Home"/>
    <n v="90"/>
    <s v="%"/>
    <s v="PIB"/>
    <s v="Neutral"/>
    <x v="2"/>
  </r>
  <r>
    <x v="9"/>
    <x v="4"/>
    <x v="11"/>
    <s v="Own Smartphone"/>
    <n v="27"/>
    <s v="%"/>
    <s v="PIB"/>
    <s v="Neutral"/>
    <x v="2"/>
  </r>
  <r>
    <x v="9"/>
    <x v="4"/>
    <x v="12"/>
    <s v="Own Smartphone"/>
    <n v="37.799999999999997"/>
    <s v="%"/>
    <s v="PIB"/>
    <s v="Neutral"/>
    <x v="2"/>
  </r>
  <r>
    <x v="10"/>
    <x v="5"/>
    <x v="13"/>
    <s v="Mobile Use"/>
    <n v="96.8"/>
    <s v="%"/>
    <s v="PIB"/>
    <s v="Good"/>
    <x v="2"/>
  </r>
  <r>
    <x v="10"/>
    <x v="6"/>
    <x v="13"/>
    <s v="Mobile Use"/>
    <n v="97.6"/>
    <s v="%"/>
    <s v="PIB"/>
    <s v="Good"/>
    <x v="2"/>
  </r>
  <r>
    <x v="10"/>
    <x v="5"/>
    <x v="13"/>
    <s v="Internet Use"/>
    <n v="92.7"/>
    <s v="%"/>
    <s v="PIB"/>
    <s v="Good"/>
    <x v="2"/>
  </r>
  <r>
    <x v="10"/>
    <x v="6"/>
    <x v="13"/>
    <s v="Internet Use"/>
    <n v="95.7"/>
    <s v="%"/>
    <s v="PIB"/>
    <s v="Good"/>
    <x v="2"/>
  </r>
  <r>
    <x v="10"/>
    <x v="7"/>
    <x v="14"/>
    <s v="Access"/>
    <n v="85.5"/>
    <s v="%"/>
    <s v="PIB"/>
    <s v="Good"/>
    <x v="2"/>
  </r>
  <r>
    <x v="10"/>
    <x v="7"/>
    <x v="0"/>
    <s v="Access"/>
    <n v="86.3"/>
    <s v="%"/>
    <s v="PIB"/>
    <s v="Good"/>
    <x v="0"/>
  </r>
  <r>
    <x v="10"/>
    <x v="8"/>
    <x v="1"/>
    <s v="Average Daily Time"/>
    <n v="3.2"/>
    <s v="Hours"/>
    <s v="DataReportal"/>
    <s v="Neutral"/>
    <x v="1"/>
  </r>
  <r>
    <x v="10"/>
    <x v="8"/>
    <x v="15"/>
    <s v="Monthly Usage"/>
    <n v="24"/>
    <s v="GB"/>
    <s v="Industry Report"/>
    <s v="Neutral"/>
    <x v="2"/>
  </r>
  <r>
    <x v="10"/>
    <x v="8"/>
    <x v="1"/>
    <s v="Daily Time"/>
    <n v="3.2"/>
    <s v="Hours"/>
    <s v="DataReportal"/>
    <s v="Bad"/>
    <x v="1"/>
  </r>
  <r>
    <x v="9"/>
    <x v="9"/>
    <x v="9"/>
    <s v="Used Social Media"/>
    <n v="76"/>
    <s v="%"/>
    <s v="PIB"/>
    <s v="Bad"/>
    <x v="2"/>
  </r>
  <r>
    <x v="9"/>
    <x v="9"/>
    <x v="9"/>
    <s v="Smartphone Access"/>
    <n v="90"/>
    <s v="%"/>
    <s v="PIB"/>
    <s v="Neutral"/>
    <x v="2"/>
  </r>
  <r>
    <x v="11"/>
    <x v="10"/>
    <x v="16"/>
    <s v="Recommended Max Screen Time"/>
    <n v="1"/>
    <s v="Hour"/>
    <s v="WHO"/>
    <s v="Bad"/>
    <x v="2"/>
  </r>
  <r>
    <x v="11"/>
    <x v="10"/>
    <x v="17"/>
    <s v="Recommended Screen Time"/>
    <n v="0"/>
    <s v="Hour"/>
    <s v="WHO"/>
    <s v="Bad"/>
    <x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D260EB-3A32-48DF-A320-309F3D9984EE}"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J22:K26" firstHeaderRow="1" firstDataRow="1" firstDataCol="1" rowPageCount="1" colPageCount="1"/>
  <pivotFields count="9">
    <pivotField showAll="0"/>
    <pivotField axis="axisPage" showAll="0">
      <items count="12">
        <item x="2"/>
        <item x="0"/>
        <item x="3"/>
        <item x="10"/>
        <item x="7"/>
        <item x="1"/>
        <item x="5"/>
        <item x="9"/>
        <item x="6"/>
        <item x="8"/>
        <item x="4"/>
        <item t="default"/>
      </items>
    </pivotField>
    <pivotField axis="axisRow" showAll="0">
      <items count="19">
        <item x="10"/>
        <item x="13"/>
        <item x="11"/>
        <item x="12"/>
        <item x="16"/>
        <item x="14"/>
        <item x="5"/>
        <item x="1"/>
        <item x="17"/>
        <item x="2"/>
        <item x="6"/>
        <item x="9"/>
        <item x="4"/>
        <item x="3"/>
        <item x="0"/>
        <item x="7"/>
        <item x="15"/>
        <item x="8"/>
        <item t="default"/>
      </items>
    </pivotField>
    <pivotField showAll="0"/>
    <pivotField dataField="1" showAll="0"/>
    <pivotField showAll="0"/>
    <pivotField showAll="0"/>
    <pivotField showAll="0"/>
    <pivotField showAll="0"/>
  </pivotFields>
  <rowFields count="1">
    <field x="2"/>
  </rowFields>
  <rowItems count="4">
    <i>
      <x v="10"/>
    </i>
    <i>
      <x v="15"/>
    </i>
    <i>
      <x v="17"/>
    </i>
    <i t="grand">
      <x/>
    </i>
  </rowItems>
  <colItems count="1">
    <i/>
  </colItems>
  <pageFields count="1">
    <pageField fld="1" item="0" hier="-1"/>
  </pageFields>
  <dataFields count="1">
    <dataField name="Sum of Value" fld="4" baseField="0" baseItem="0"/>
  </dataFields>
  <chartFormats count="8">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2" count="1" selected="0">
            <x v="17"/>
          </reference>
        </references>
      </pivotArea>
    </chartFormat>
    <chartFormat chart="0" format="2">
      <pivotArea type="data" outline="0" fieldPosition="0">
        <references count="2">
          <reference field="4294967294" count="1" selected="0">
            <x v="0"/>
          </reference>
          <reference field="2" count="1" selected="0">
            <x v="10"/>
          </reference>
        </references>
      </pivotArea>
    </chartFormat>
    <chartFormat chart="0" format="3">
      <pivotArea type="data" outline="0" fieldPosition="0">
        <references count="2">
          <reference field="4294967294" count="1" selected="0">
            <x v="0"/>
          </reference>
          <reference field="2" count="1" selected="0">
            <x v="15"/>
          </reference>
        </references>
      </pivotArea>
    </chartFormat>
    <chartFormat chart="4" format="8" series="1">
      <pivotArea type="data" outline="0" fieldPosition="0">
        <references count="1">
          <reference field="4294967294" count="1" selected="0">
            <x v="0"/>
          </reference>
        </references>
      </pivotArea>
    </chartFormat>
    <chartFormat chart="4" format="9">
      <pivotArea type="data" outline="0" fieldPosition="0">
        <references count="2">
          <reference field="4294967294" count="1" selected="0">
            <x v="0"/>
          </reference>
          <reference field="2" count="1" selected="0">
            <x v="10"/>
          </reference>
        </references>
      </pivotArea>
    </chartFormat>
    <chartFormat chart="4" format="10">
      <pivotArea type="data" outline="0" fieldPosition="0">
        <references count="2">
          <reference field="4294967294" count="1" selected="0">
            <x v="0"/>
          </reference>
          <reference field="2" count="1" selected="0">
            <x v="15"/>
          </reference>
        </references>
      </pivotArea>
    </chartFormat>
    <chartFormat chart="4" format="11">
      <pivotArea type="data" outline="0" fieldPosition="0">
        <references count="2">
          <reference field="4294967294" count="1" selected="0">
            <x v="0"/>
          </reference>
          <reference field="2" count="1" selected="0">
            <x v="1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E3F118-F82C-452B-BC40-149E0767173E}"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2:B27" firstHeaderRow="1" firstDataRow="1" firstDataCol="1" rowPageCount="1" colPageCount="1"/>
  <pivotFields count="9">
    <pivotField showAll="0"/>
    <pivotField axis="axisPage" showAll="0">
      <items count="12">
        <item x="2"/>
        <item x="0"/>
        <item x="3"/>
        <item x="10"/>
        <item x="7"/>
        <item x="1"/>
        <item x="5"/>
        <item x="9"/>
        <item x="6"/>
        <item x="8"/>
        <item x="4"/>
        <item t="default"/>
      </items>
    </pivotField>
    <pivotField axis="axisRow" showAll="0" sortType="descending">
      <items count="19">
        <item x="10"/>
        <item x="13"/>
        <item x="11"/>
        <item x="12"/>
        <item x="16"/>
        <item x="6"/>
        <item x="9"/>
        <item x="4"/>
        <item x="3"/>
        <item x="0"/>
        <item x="7"/>
        <item x="15"/>
        <item x="8"/>
        <item x="14"/>
        <item x="5"/>
        <item x="1"/>
        <item x="17"/>
        <item x="2"/>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pivotFields>
  <rowFields count="1">
    <field x="2"/>
  </rowFields>
  <rowItems count="5">
    <i>
      <x v="17"/>
    </i>
    <i>
      <x v="8"/>
    </i>
    <i>
      <x v="7"/>
    </i>
    <i>
      <x v="14"/>
    </i>
    <i t="grand">
      <x/>
    </i>
  </rowItems>
  <colItems count="1">
    <i/>
  </colItems>
  <pageFields count="1">
    <pageField fld="1" item="5" hier="-1"/>
  </pageFields>
  <dataFields count="1">
    <dataField name="Sum of Value" fld="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0E782DB-DEA0-479B-B740-688D55FB362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E3:F15" firstHeaderRow="1" firstDataRow="1" firstDataCol="1"/>
  <pivotFields count="9">
    <pivotField axis="axisRow" showAll="0">
      <items count="13">
        <item x="0"/>
        <item x="1"/>
        <item x="2"/>
        <item x="3"/>
        <item x="4"/>
        <item x="5"/>
        <item x="6"/>
        <item x="7"/>
        <item x="8"/>
        <item x="9"/>
        <item x="10"/>
        <item x="11"/>
        <item t="default"/>
      </items>
    </pivotField>
    <pivotField showAll="0"/>
    <pivotField showAll="0"/>
    <pivotField showAll="0"/>
    <pivotField dataField="1" showAll="0"/>
    <pivotField showAll="0"/>
    <pivotField showAll="0"/>
    <pivotField showAll="0"/>
    <pivotField multipleItemSelectionAllowed="1" showAll="0">
      <items count="4">
        <item h="1" x="2"/>
        <item h="1" x="0"/>
        <item x="1"/>
        <item t="default"/>
      </items>
    </pivotField>
  </pivotFields>
  <rowFields count="1">
    <field x="0"/>
  </rowFields>
  <rowItems count="12">
    <i>
      <x/>
    </i>
    <i>
      <x v="1"/>
    </i>
    <i>
      <x v="2"/>
    </i>
    <i>
      <x v="3"/>
    </i>
    <i>
      <x v="4"/>
    </i>
    <i>
      <x v="5"/>
    </i>
    <i>
      <x v="6"/>
    </i>
    <i>
      <x v="7"/>
    </i>
    <i>
      <x v="8"/>
    </i>
    <i>
      <x v="9"/>
    </i>
    <i>
      <x v="10"/>
    </i>
    <i t="grand">
      <x/>
    </i>
  </rowItems>
  <colItems count="1">
    <i/>
  </colItems>
  <dataFields count="1">
    <dataField name="Sum of Value" fld="4" baseField="0" baseItem="0"/>
  </dataFields>
  <chartFormats count="1">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85668FC9-E5D1-462C-89B3-B763E5F97576}" autoFormatId="16" applyNumberFormats="0" applyBorderFormats="0" applyFontFormats="0" applyPatternFormats="0" applyAlignmentFormats="0" applyWidthHeightFormats="0">
  <queryTableRefresh nextId="10">
    <queryTableFields count="9">
      <queryTableField id="1" name="Year" tableColumnId="1"/>
      <queryTableField id="2" name="Category" tableColumnId="2"/>
      <queryTableField id="3" name="Subcategory" tableColumnId="3"/>
      <queryTableField id="4" name="Metric" tableColumnId="4"/>
      <queryTableField id="5" name="Value" tableColumnId="5"/>
      <queryTableField id="6" name="Unit" tableColumnId="6"/>
      <queryTableField id="7" name="Source" tableColumnId="7"/>
      <queryTableField id="8" name="Impact" tableColumnId="8"/>
      <queryTableField id="9" name="Trend_Type" tableColumnId="9"/>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9D6BB5E1-E8C2-481D-A136-C57715AF5DA1}" sourceName="Year">
  <data>
    <tabular pivotCacheId="102091600">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end_Type" xr10:uid="{03FCBFDB-4235-49AE-841E-0E79474F1439}" sourceName="Trend_Type">
  <pivotTables>
    <pivotTable tabId="4" name="PivotTable5"/>
  </pivotTables>
  <data>
    <tabular pivotCacheId="102091600">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B2A2D988-69D4-4EE6-9456-2AB74EB46614}" cache="Slicer_Year" caption="Year" startItem="2" rowHeight="247650"/>
  <slicer name="Trend_Type" xr10:uid="{79E661FD-C14D-4414-9096-28D6B5F4F959}" cache="Slicer_Trend_Type" caption="Trend_Type" startItem="2" rowHeight="247650"/>
</slicers>
</file>

<file path=xl/tables/_rels/table2.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6DBBB109-F8AB-40B6-B652-9703684749E1}" name="tbl_MasterData" displayName="tbl_MasterData" ref="A1:I49" totalsRowShown="0" headerRowDxfId="20" dataDxfId="19">
  <autoFilter ref="A1:I49" xr:uid="{6DBBB109-F8AB-40B6-B652-9703684749E1}"/>
  <tableColumns count="9">
    <tableColumn id="1" xr3:uid="{7CAA0B95-ADF4-45D2-85B1-AC8FF5F33CCF}" name="Year" dataDxfId="18"/>
    <tableColumn id="2" xr3:uid="{9E249FFE-FFB7-428E-B979-4A83AD6CB88A}" name="Category" dataDxfId="17"/>
    <tableColumn id="3" xr3:uid="{C6514C00-E8BC-41B0-B591-3C75900B6626}" name="Subcategory" dataDxfId="16"/>
    <tableColumn id="4" xr3:uid="{0CA8547C-AB67-4507-B721-35215255C209}" name="Metric" dataDxfId="15"/>
    <tableColumn id="5" xr3:uid="{4885742C-57F0-4E3B-8FD1-E74D861907CC}" name="Value" dataDxfId="14"/>
    <tableColumn id="6" xr3:uid="{ED39488A-65CE-45D7-96C4-942324B29993}" name="Unit" dataDxfId="13"/>
    <tableColumn id="7" xr3:uid="{30DFB0BD-02FA-427C-8E26-BC9013AA0502}" name="Source" dataDxfId="12"/>
    <tableColumn id="8" xr3:uid="{4495AA81-D596-432E-80C3-46A801633CD0}" name="Impact" dataDxfId="11"/>
    <tableColumn id="9" xr3:uid="{6EC57F58-3A46-40A5-9982-CE6BC36026C5}" name="Trend_Type" dataDxfId="10">
      <calculatedColumnFormula>IF(OR(tbl_MasterData[[#This Row],[Subcategory]]="Internet",tbl_MasterData[[#This Row],[Subcategory]]="Social Media"),tbl_MasterData[[#This Row],[Subcategory]],"")</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88FDAE0-793F-4376-A5A3-1FFFA2DE1436}" name="SocialMedia_CleanData" displayName="SocialMedia_CleanData" ref="A1:I49" tableType="queryTable" totalsRowShown="0">
  <autoFilter ref="A1:I49" xr:uid="{C88FDAE0-793F-4376-A5A3-1FFFA2DE1436}"/>
  <tableColumns count="9">
    <tableColumn id="1" xr3:uid="{BB17220B-92E9-4B96-A65F-66BFB64E953B}" uniqueName="1" name="Year" queryTableFieldId="1"/>
    <tableColumn id="2" xr3:uid="{26AFEBB1-7607-40A9-A101-A0B9824BD910}" uniqueName="2" name="Category" queryTableFieldId="2" dataDxfId="9"/>
    <tableColumn id="3" xr3:uid="{1A9ACF65-5115-49D7-A831-23A57795F07C}" uniqueName="3" name="Subcategory" queryTableFieldId="3" dataDxfId="8"/>
    <tableColumn id="4" xr3:uid="{91B628E0-C5F9-40C2-84CB-414F2F670983}" uniqueName="4" name="Metric" queryTableFieldId="4" dataDxfId="7"/>
    <tableColumn id="5" xr3:uid="{F781868D-DB35-4D5C-B6FF-88563F316F67}" uniqueName="5" name="Value" queryTableFieldId="5"/>
    <tableColumn id="6" xr3:uid="{B7AF3413-69C3-45C6-B4B1-094BFB97B4D2}" uniqueName="6" name="Unit" queryTableFieldId="6" dataDxfId="6"/>
    <tableColumn id="7" xr3:uid="{59999C3C-4510-4F66-BB3B-C158DB156437}" uniqueName="7" name="Source" queryTableFieldId="7" dataDxfId="5"/>
    <tableColumn id="8" xr3:uid="{83B81467-9220-4602-85C5-62D93C5FC54F}" uniqueName="8" name="Impact" queryTableFieldId="8" dataDxfId="4"/>
    <tableColumn id="9" xr3:uid="{1556BEA0-8C4C-4B4D-9BC3-AC32C35FFF26}" uniqueName="9" name="Trend_Type" queryTableFieldId="9" dataDxf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E16DFB-7E07-4374-9084-459F84C2B167}">
  <dimension ref="A1:E107"/>
  <sheetViews>
    <sheetView topLeftCell="A6" zoomScale="57" workbookViewId="0">
      <selection activeCell="A2" sqref="A2:E2"/>
    </sheetView>
  </sheetViews>
  <sheetFormatPr defaultRowHeight="14.4" x14ac:dyDescent="0.3"/>
  <cols>
    <col min="1" max="1" width="20.6640625" customWidth="1"/>
    <col min="2" max="2" width="19" customWidth="1"/>
    <col min="3" max="4" width="19.88671875" customWidth="1"/>
    <col min="5" max="5" width="12.5546875" customWidth="1"/>
  </cols>
  <sheetData>
    <row r="1" spans="1:5" ht="6.6" customHeight="1" x14ac:dyDescent="0.3"/>
    <row r="2" spans="1:5" ht="22.8" customHeight="1" x14ac:dyDescent="0.3">
      <c r="A2" s="15" t="s">
        <v>0</v>
      </c>
      <c r="B2" s="15"/>
      <c r="C2" s="15"/>
      <c r="D2" s="15"/>
      <c r="E2" s="15"/>
    </row>
    <row r="3" spans="1:5" ht="3.6" customHeight="1" x14ac:dyDescent="0.3"/>
    <row r="4" spans="1:5" ht="28.8" x14ac:dyDescent="0.3">
      <c r="A4" s="2" t="s">
        <v>1</v>
      </c>
      <c r="B4" s="2" t="s">
        <v>2</v>
      </c>
      <c r="C4" s="2" t="s">
        <v>3</v>
      </c>
      <c r="D4" s="2" t="s">
        <v>4</v>
      </c>
      <c r="E4" s="2" t="s">
        <v>5</v>
      </c>
    </row>
    <row r="5" spans="1:5" ht="25.05" customHeight="1" x14ac:dyDescent="0.3">
      <c r="A5" s="1">
        <v>2015</v>
      </c>
      <c r="B5" s="1">
        <v>0.98</v>
      </c>
      <c r="C5" s="1">
        <v>302</v>
      </c>
      <c r="D5" s="1">
        <v>142</v>
      </c>
      <c r="E5" s="1" t="s">
        <v>6</v>
      </c>
    </row>
    <row r="6" spans="1:5" ht="25.05" customHeight="1" x14ac:dyDescent="0.3">
      <c r="A6" s="1">
        <v>2016</v>
      </c>
      <c r="B6" s="1">
        <v>1.03</v>
      </c>
      <c r="C6" s="1">
        <v>342</v>
      </c>
      <c r="D6" s="1">
        <v>168</v>
      </c>
      <c r="E6" s="1" t="s">
        <v>7</v>
      </c>
    </row>
    <row r="7" spans="1:5" ht="25.05" customHeight="1" x14ac:dyDescent="0.3">
      <c r="A7" s="1">
        <v>2017</v>
      </c>
      <c r="B7" s="1">
        <v>1.08</v>
      </c>
      <c r="C7" s="1">
        <v>391</v>
      </c>
      <c r="D7" s="1">
        <v>239</v>
      </c>
      <c r="E7" s="1" t="s">
        <v>8</v>
      </c>
    </row>
    <row r="8" spans="1:5" ht="25.05" customHeight="1" x14ac:dyDescent="0.3">
      <c r="A8" s="1">
        <v>2018</v>
      </c>
      <c r="B8" s="1">
        <v>1.17</v>
      </c>
      <c r="C8" s="1">
        <v>483</v>
      </c>
      <c r="D8" s="1">
        <v>326</v>
      </c>
      <c r="E8" s="1" t="s">
        <v>9</v>
      </c>
    </row>
    <row r="9" spans="1:5" ht="25.05" customHeight="1" x14ac:dyDescent="0.3">
      <c r="A9" s="1">
        <v>2019</v>
      </c>
      <c r="B9" s="1">
        <v>1.18</v>
      </c>
      <c r="C9" s="1">
        <v>560</v>
      </c>
      <c r="D9" s="1">
        <v>351</v>
      </c>
      <c r="E9" s="1" t="s">
        <v>10</v>
      </c>
    </row>
    <row r="10" spans="1:5" ht="25.05" customHeight="1" x14ac:dyDescent="0.3">
      <c r="A10" s="1">
        <v>2020</v>
      </c>
      <c r="B10" s="1">
        <v>1.1499999999999999</v>
      </c>
      <c r="C10" s="1">
        <v>624</v>
      </c>
      <c r="D10" s="1">
        <v>376</v>
      </c>
      <c r="E10" s="1" t="s">
        <v>11</v>
      </c>
    </row>
    <row r="11" spans="1:5" ht="25.05" customHeight="1" x14ac:dyDescent="0.3">
      <c r="A11" s="1">
        <v>2021</v>
      </c>
      <c r="B11" s="1">
        <v>1.1499999999999999</v>
      </c>
      <c r="C11" s="1">
        <v>658</v>
      </c>
      <c r="D11" s="1">
        <v>448</v>
      </c>
      <c r="E11" s="1" t="s">
        <v>12</v>
      </c>
    </row>
    <row r="12" spans="1:5" ht="25.05" customHeight="1" x14ac:dyDescent="0.3">
      <c r="A12" s="1">
        <v>2022</v>
      </c>
      <c r="B12" s="1">
        <v>1.1399999999999999</v>
      </c>
      <c r="C12" s="1">
        <v>692</v>
      </c>
      <c r="D12" s="1">
        <v>467</v>
      </c>
      <c r="E12" s="1" t="s">
        <v>13</v>
      </c>
    </row>
    <row r="13" spans="1:5" ht="25.05" customHeight="1" x14ac:dyDescent="0.3">
      <c r="A13" s="1">
        <v>2023</v>
      </c>
      <c r="B13" s="1">
        <v>1.1299999999999999</v>
      </c>
      <c r="C13" s="1">
        <v>751</v>
      </c>
      <c r="D13" s="1">
        <v>462</v>
      </c>
      <c r="E13" s="1" t="s">
        <v>14</v>
      </c>
    </row>
    <row r="14" spans="1:5" ht="25.05" customHeight="1" x14ac:dyDescent="0.3">
      <c r="A14" s="1">
        <v>2024</v>
      </c>
      <c r="B14" s="1">
        <v>1.1200000000000001</v>
      </c>
      <c r="C14" s="1">
        <v>757</v>
      </c>
      <c r="D14" s="1">
        <v>462</v>
      </c>
      <c r="E14" s="1" t="s">
        <v>15</v>
      </c>
    </row>
    <row r="15" spans="1:5" ht="25.05" customHeight="1" x14ac:dyDescent="0.3">
      <c r="A15" s="1">
        <v>2025</v>
      </c>
      <c r="B15" s="1">
        <v>1.1200000000000001</v>
      </c>
      <c r="C15" s="1">
        <v>806</v>
      </c>
      <c r="D15" s="1">
        <v>491</v>
      </c>
      <c r="E15" s="1" t="s">
        <v>16</v>
      </c>
    </row>
    <row r="16" spans="1:5" ht="2.4" customHeight="1" x14ac:dyDescent="0.3"/>
    <row r="17" spans="1:5" x14ac:dyDescent="0.3">
      <c r="A17" s="18" t="s">
        <v>17</v>
      </c>
      <c r="B17" s="18"/>
      <c r="C17" s="18"/>
      <c r="D17" s="18"/>
      <c r="E17" s="18"/>
    </row>
    <row r="20" spans="1:5" ht="22.2" customHeight="1" x14ac:dyDescent="0.3">
      <c r="A20" s="16" t="s">
        <v>18</v>
      </c>
      <c r="B20" s="16"/>
      <c r="C20" s="16"/>
    </row>
    <row r="21" spans="1:5" ht="3" customHeight="1" x14ac:dyDescent="0.3"/>
    <row r="22" spans="1:5" ht="25.05" customHeight="1" x14ac:dyDescent="0.3">
      <c r="A22" s="2" t="s">
        <v>19</v>
      </c>
      <c r="B22" s="2" t="s">
        <v>20</v>
      </c>
      <c r="C22" s="2" t="s">
        <v>21</v>
      </c>
    </row>
    <row r="23" spans="1:5" ht="25.05" customHeight="1" x14ac:dyDescent="0.3">
      <c r="A23" s="1" t="s">
        <v>22</v>
      </c>
      <c r="B23" s="1">
        <v>500</v>
      </c>
      <c r="C23" s="1" t="s">
        <v>23</v>
      </c>
    </row>
    <row r="24" spans="1:5" ht="25.05" customHeight="1" x14ac:dyDescent="0.3">
      <c r="A24" s="1" t="s">
        <v>24</v>
      </c>
      <c r="B24" s="1">
        <v>414</v>
      </c>
      <c r="C24" s="1" t="s">
        <v>25</v>
      </c>
    </row>
    <row r="25" spans="1:5" ht="25.05" customHeight="1" x14ac:dyDescent="0.3">
      <c r="A25" s="1" t="s">
        <v>26</v>
      </c>
      <c r="B25" s="1">
        <v>384</v>
      </c>
      <c r="C25" s="1" t="s">
        <v>25</v>
      </c>
    </row>
    <row r="26" spans="1:5" ht="25.05" customHeight="1" x14ac:dyDescent="0.3">
      <c r="A26" s="1" t="s">
        <v>27</v>
      </c>
      <c r="B26" s="1">
        <v>213</v>
      </c>
      <c r="C26" s="1" t="s">
        <v>28</v>
      </c>
    </row>
    <row r="27" spans="1:5" ht="25.05" customHeight="1" x14ac:dyDescent="0.3">
      <c r="A27" s="1" t="s">
        <v>29</v>
      </c>
      <c r="B27" s="1">
        <v>109</v>
      </c>
      <c r="C27" s="1" t="s">
        <v>28</v>
      </c>
    </row>
    <row r="28" spans="1:5" ht="25.05" customHeight="1" x14ac:dyDescent="0.3">
      <c r="A28" s="1" t="s">
        <v>30</v>
      </c>
      <c r="B28" s="1" t="s">
        <v>31</v>
      </c>
      <c r="C28" s="1" t="s">
        <v>28</v>
      </c>
    </row>
    <row r="29" spans="1:5" ht="2.4" customHeight="1" x14ac:dyDescent="0.3"/>
    <row r="30" spans="1:5" x14ac:dyDescent="0.3">
      <c r="A30" s="18" t="s">
        <v>32</v>
      </c>
      <c r="B30" s="18"/>
      <c r="C30" s="18"/>
    </row>
    <row r="33" spans="1:3" ht="22.2" customHeight="1" x14ac:dyDescent="0.3">
      <c r="A33" s="17" t="s">
        <v>33</v>
      </c>
      <c r="B33" s="17"/>
    </row>
    <row r="34" spans="1:3" ht="3" customHeight="1" x14ac:dyDescent="0.3"/>
    <row r="35" spans="1:3" ht="25.05" customHeight="1" x14ac:dyDescent="0.3">
      <c r="A35" s="2" t="s">
        <v>34</v>
      </c>
      <c r="B35" s="2" t="s">
        <v>35</v>
      </c>
    </row>
    <row r="36" spans="1:3" ht="25.05" customHeight="1" x14ac:dyDescent="0.3">
      <c r="A36" s="1" t="s">
        <v>36</v>
      </c>
      <c r="B36" s="3">
        <v>0.9</v>
      </c>
    </row>
    <row r="37" spans="1:3" ht="25.05" customHeight="1" x14ac:dyDescent="0.3">
      <c r="A37" s="1" t="s">
        <v>37</v>
      </c>
      <c r="B37" s="4">
        <v>0.82199999999999995</v>
      </c>
    </row>
    <row r="38" spans="1:3" ht="25.05" customHeight="1" x14ac:dyDescent="0.3">
      <c r="A38" s="1" t="s">
        <v>38</v>
      </c>
      <c r="B38" s="3">
        <v>0.56999999999999995</v>
      </c>
    </row>
    <row r="39" spans="1:3" ht="25.05" customHeight="1" x14ac:dyDescent="0.3">
      <c r="A39" s="1" t="s">
        <v>39</v>
      </c>
      <c r="B39" s="3">
        <v>0.76</v>
      </c>
    </row>
    <row r="40" spans="1:3" ht="25.05" customHeight="1" x14ac:dyDescent="0.3">
      <c r="A40" s="1" t="s">
        <v>40</v>
      </c>
      <c r="B40" s="3">
        <v>0.27</v>
      </c>
    </row>
    <row r="41" spans="1:3" ht="25.05" customHeight="1" x14ac:dyDescent="0.3">
      <c r="A41" s="1" t="s">
        <v>41</v>
      </c>
      <c r="B41" s="4">
        <v>0.378</v>
      </c>
    </row>
    <row r="42" spans="1:3" ht="2.4" customHeight="1" x14ac:dyDescent="0.3"/>
    <row r="43" spans="1:3" x14ac:dyDescent="0.3">
      <c r="A43" s="18" t="s">
        <v>42</v>
      </c>
      <c r="B43" s="18"/>
    </row>
    <row r="46" spans="1:3" ht="15.6" customHeight="1" x14ac:dyDescent="0.3">
      <c r="A46" s="15" t="s">
        <v>43</v>
      </c>
      <c r="B46" s="15"/>
      <c r="C46" s="15"/>
    </row>
    <row r="47" spans="1:3" ht="3" customHeight="1" x14ac:dyDescent="0.3"/>
    <row r="48" spans="1:3" ht="25.95" customHeight="1" x14ac:dyDescent="0.3">
      <c r="A48" s="2" t="s">
        <v>34</v>
      </c>
      <c r="B48" s="2" t="s">
        <v>44</v>
      </c>
      <c r="C48" s="2" t="s">
        <v>45</v>
      </c>
    </row>
    <row r="49" spans="1:3" ht="25.95" customHeight="1" x14ac:dyDescent="0.3">
      <c r="A49" s="1" t="s">
        <v>46</v>
      </c>
      <c r="B49" s="4">
        <v>0.96799999999999997</v>
      </c>
      <c r="C49" s="4">
        <v>0.97599999999999998</v>
      </c>
    </row>
    <row r="50" spans="1:3" ht="25.95" customHeight="1" x14ac:dyDescent="0.3">
      <c r="A50" s="1" t="s">
        <v>47</v>
      </c>
      <c r="B50" s="4">
        <v>0.92700000000000005</v>
      </c>
      <c r="C50" s="4">
        <v>0.95699999999999996</v>
      </c>
    </row>
    <row r="51" spans="1:3" ht="25.95" customHeight="1" x14ac:dyDescent="0.3">
      <c r="A51" s="1" t="s">
        <v>48</v>
      </c>
      <c r="B51" s="4">
        <v>0.95499999999999996</v>
      </c>
      <c r="C51" s="4">
        <v>0.97599999999999998</v>
      </c>
    </row>
    <row r="52" spans="1:3" ht="1.8" customHeight="1" x14ac:dyDescent="0.3"/>
    <row r="53" spans="1:3" x14ac:dyDescent="0.3">
      <c r="A53" s="18" t="s">
        <v>49</v>
      </c>
      <c r="B53" s="18"/>
      <c r="C53" s="18"/>
    </row>
    <row r="56" spans="1:3" ht="17.399999999999999" customHeight="1" x14ac:dyDescent="0.3">
      <c r="A56" s="16" t="s">
        <v>50</v>
      </c>
      <c r="B56" s="16"/>
    </row>
    <row r="57" spans="1:3" ht="2.4" customHeight="1" x14ac:dyDescent="0.3"/>
    <row r="58" spans="1:3" ht="25.95" customHeight="1" x14ac:dyDescent="0.3">
      <c r="A58" s="2" t="s">
        <v>34</v>
      </c>
      <c r="B58" s="2" t="s">
        <v>35</v>
      </c>
    </row>
    <row r="59" spans="1:3" ht="25.95" customHeight="1" x14ac:dyDescent="0.3">
      <c r="A59" s="1" t="s">
        <v>51</v>
      </c>
      <c r="B59" s="4">
        <v>0.85499999999999998</v>
      </c>
    </row>
    <row r="60" spans="1:3" ht="25.95" customHeight="1" x14ac:dyDescent="0.3">
      <c r="A60" s="1" t="s">
        <v>52</v>
      </c>
      <c r="B60" s="4">
        <v>0.86299999999999999</v>
      </c>
    </row>
    <row r="61" spans="1:3" ht="2.4" customHeight="1" x14ac:dyDescent="0.3"/>
    <row r="62" spans="1:3" x14ac:dyDescent="0.3">
      <c r="A62" s="18" t="s">
        <v>53</v>
      </c>
      <c r="B62" s="18"/>
    </row>
    <row r="65" spans="1:2" ht="17.399999999999999" customHeight="1" x14ac:dyDescent="0.3">
      <c r="A65" s="15" t="s">
        <v>54</v>
      </c>
      <c r="B65" s="15"/>
    </row>
    <row r="66" spans="1:2" ht="3" customHeight="1" x14ac:dyDescent="0.3"/>
    <row r="67" spans="1:2" ht="27" customHeight="1" x14ac:dyDescent="0.3">
      <c r="A67" s="2" t="s">
        <v>55</v>
      </c>
      <c r="B67" s="2" t="s">
        <v>56</v>
      </c>
    </row>
    <row r="68" spans="1:2" ht="27" customHeight="1" x14ac:dyDescent="0.3">
      <c r="A68" s="1" t="s">
        <v>57</v>
      </c>
      <c r="B68" s="1" t="s">
        <v>58</v>
      </c>
    </row>
    <row r="69" spans="1:2" ht="27" customHeight="1" x14ac:dyDescent="0.3">
      <c r="A69" s="1" t="s">
        <v>59</v>
      </c>
      <c r="B69" s="1" t="s">
        <v>60</v>
      </c>
    </row>
    <row r="70" spans="1:2" ht="27" customHeight="1" x14ac:dyDescent="0.3">
      <c r="A70" s="1" t="s">
        <v>61</v>
      </c>
      <c r="B70" s="1" t="s">
        <v>62</v>
      </c>
    </row>
    <row r="71" spans="1:2" ht="3" customHeight="1" x14ac:dyDescent="0.3"/>
    <row r="72" spans="1:2" x14ac:dyDescent="0.3">
      <c r="A72" s="18" t="s">
        <v>63</v>
      </c>
      <c r="B72" s="18"/>
    </row>
    <row r="75" spans="1:2" ht="18" customHeight="1" x14ac:dyDescent="0.3">
      <c r="A75" s="15" t="s">
        <v>64</v>
      </c>
      <c r="B75" s="15"/>
    </row>
    <row r="76" spans="1:2" ht="3" customHeight="1" x14ac:dyDescent="0.3"/>
    <row r="77" spans="1:2" ht="25.05" customHeight="1" x14ac:dyDescent="0.3">
      <c r="A77" s="2" t="s">
        <v>65</v>
      </c>
      <c r="B77" s="2" t="s">
        <v>66</v>
      </c>
    </row>
    <row r="78" spans="1:2" ht="25.05" customHeight="1" x14ac:dyDescent="0.3">
      <c r="A78" s="1" t="s">
        <v>67</v>
      </c>
      <c r="B78" s="1">
        <v>9</v>
      </c>
    </row>
    <row r="79" spans="1:2" ht="25.05" customHeight="1" x14ac:dyDescent="0.3">
      <c r="A79" s="1" t="s">
        <v>68</v>
      </c>
      <c r="B79" s="1">
        <v>8</v>
      </c>
    </row>
    <row r="80" spans="1:2" ht="25.05" customHeight="1" x14ac:dyDescent="0.3">
      <c r="A80" s="1" t="s">
        <v>69</v>
      </c>
      <c r="B80" s="1">
        <v>9</v>
      </c>
    </row>
    <row r="81" spans="1:2" ht="25.05" customHeight="1" x14ac:dyDescent="0.3">
      <c r="A81" s="1" t="s">
        <v>70</v>
      </c>
      <c r="B81" s="1">
        <v>8</v>
      </c>
    </row>
    <row r="82" spans="1:2" ht="25.05" customHeight="1" x14ac:dyDescent="0.3">
      <c r="A82" s="1" t="s">
        <v>71</v>
      </c>
      <c r="B82" s="1">
        <v>10</v>
      </c>
    </row>
    <row r="83" spans="1:2" ht="25.05" customHeight="1" x14ac:dyDescent="0.3">
      <c r="A83" s="1" t="s">
        <v>72</v>
      </c>
      <c r="B83" s="1">
        <v>10</v>
      </c>
    </row>
    <row r="84" spans="1:2" ht="25.05" customHeight="1" x14ac:dyDescent="0.3">
      <c r="A84" s="1" t="s">
        <v>73</v>
      </c>
      <c r="B84" s="1">
        <v>8</v>
      </c>
    </row>
    <row r="85" spans="1:2" ht="25.05" customHeight="1" x14ac:dyDescent="0.3">
      <c r="A85" s="1" t="s">
        <v>74</v>
      </c>
      <c r="B85" s="1">
        <v>8</v>
      </c>
    </row>
    <row r="87" spans="1:2" ht="15" customHeight="1" x14ac:dyDescent="0.3"/>
    <row r="88" spans="1:2" ht="17.399999999999999" customHeight="1" x14ac:dyDescent="0.3">
      <c r="A88" s="19" t="s">
        <v>75</v>
      </c>
      <c r="B88" s="19"/>
    </row>
    <row r="89" spans="1:2" ht="2.4" customHeight="1" x14ac:dyDescent="0.3"/>
    <row r="90" spans="1:2" ht="25.05" customHeight="1" x14ac:dyDescent="0.3">
      <c r="A90" s="2" t="s">
        <v>65</v>
      </c>
      <c r="B90" s="2" t="s">
        <v>76</v>
      </c>
    </row>
    <row r="91" spans="1:2" ht="25.05" customHeight="1" x14ac:dyDescent="0.3">
      <c r="A91" s="1" t="s">
        <v>77</v>
      </c>
      <c r="B91" s="1">
        <v>9</v>
      </c>
    </row>
    <row r="92" spans="1:2" ht="25.05" customHeight="1" x14ac:dyDescent="0.3">
      <c r="A92" s="1" t="s">
        <v>78</v>
      </c>
      <c r="B92" s="1">
        <v>8</v>
      </c>
    </row>
    <row r="93" spans="1:2" ht="25.05" customHeight="1" x14ac:dyDescent="0.3">
      <c r="A93" s="1" t="s">
        <v>79</v>
      </c>
      <c r="B93" s="1">
        <v>8</v>
      </c>
    </row>
    <row r="94" spans="1:2" ht="25.05" customHeight="1" x14ac:dyDescent="0.3">
      <c r="A94" s="1" t="s">
        <v>80</v>
      </c>
      <c r="B94" s="1">
        <v>7</v>
      </c>
    </row>
    <row r="95" spans="1:2" ht="25.05" customHeight="1" x14ac:dyDescent="0.3">
      <c r="A95" s="1" t="s">
        <v>81</v>
      </c>
      <c r="B95" s="1">
        <v>8</v>
      </c>
    </row>
    <row r="96" spans="1:2" ht="25.05" customHeight="1" x14ac:dyDescent="0.3">
      <c r="A96" s="1" t="s">
        <v>82</v>
      </c>
      <c r="B96" s="1">
        <v>7</v>
      </c>
    </row>
    <row r="97" spans="1:2" ht="25.05" customHeight="1" x14ac:dyDescent="0.3">
      <c r="A97" s="1" t="s">
        <v>83</v>
      </c>
      <c r="B97" s="1">
        <v>8</v>
      </c>
    </row>
    <row r="100" spans="1:2" ht="18.600000000000001" customHeight="1" x14ac:dyDescent="0.3">
      <c r="A100" s="15" t="s">
        <v>84</v>
      </c>
      <c r="B100" s="15"/>
    </row>
    <row r="101" spans="1:2" ht="3.6" customHeight="1" x14ac:dyDescent="0.3"/>
    <row r="102" spans="1:2" ht="24.6" customHeight="1" x14ac:dyDescent="0.3">
      <c r="A102" s="2" t="s">
        <v>85</v>
      </c>
      <c r="B102" s="2" t="s">
        <v>86</v>
      </c>
    </row>
    <row r="103" spans="1:2" ht="25.05" customHeight="1" x14ac:dyDescent="0.3">
      <c r="A103" s="1" t="s">
        <v>87</v>
      </c>
      <c r="B103" s="1" t="s">
        <v>88</v>
      </c>
    </row>
    <row r="104" spans="1:2" ht="25.05" customHeight="1" x14ac:dyDescent="0.3">
      <c r="A104" s="1" t="s">
        <v>89</v>
      </c>
      <c r="B104" s="1" t="s">
        <v>90</v>
      </c>
    </row>
    <row r="105" spans="1:2" ht="25.05" customHeight="1" x14ac:dyDescent="0.3">
      <c r="A105" s="1" t="s">
        <v>91</v>
      </c>
      <c r="B105" s="1" t="s">
        <v>92</v>
      </c>
    </row>
    <row r="106" spans="1:2" ht="25.05" customHeight="1" x14ac:dyDescent="0.3">
      <c r="A106" s="1" t="s">
        <v>93</v>
      </c>
      <c r="B106" s="1" t="s">
        <v>94</v>
      </c>
    </row>
    <row r="107" spans="1:2" ht="25.05" customHeight="1" x14ac:dyDescent="0.3">
      <c r="A107" s="1" t="s">
        <v>95</v>
      </c>
      <c r="B107" s="1" t="s">
        <v>96</v>
      </c>
    </row>
  </sheetData>
  <mergeCells count="15">
    <mergeCell ref="A75:B75"/>
    <mergeCell ref="A88:B88"/>
    <mergeCell ref="A100:B100"/>
    <mergeCell ref="A46:C46"/>
    <mergeCell ref="A53:C53"/>
    <mergeCell ref="A56:B56"/>
    <mergeCell ref="A62:B62"/>
    <mergeCell ref="A65:B65"/>
    <mergeCell ref="A72:B72"/>
    <mergeCell ref="A2:E2"/>
    <mergeCell ref="A20:C20"/>
    <mergeCell ref="A33:B33"/>
    <mergeCell ref="A43:B43"/>
    <mergeCell ref="A30:C30"/>
    <mergeCell ref="A17:E1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F79746-5061-43C1-92E8-8F418F2359DF}">
  <dimension ref="A1:I49"/>
  <sheetViews>
    <sheetView topLeftCell="A5" zoomScale="83" workbookViewId="0">
      <selection activeCell="M10" sqref="M10"/>
    </sheetView>
  </sheetViews>
  <sheetFormatPr defaultRowHeight="14.4" x14ac:dyDescent="0.3"/>
  <cols>
    <col min="1" max="1" width="11.6640625" customWidth="1"/>
    <col min="2" max="3" width="15.5546875" customWidth="1"/>
    <col min="4" max="4" width="22.109375" customWidth="1"/>
    <col min="5" max="5" width="9.33203125" customWidth="1"/>
    <col min="6" max="6" width="9.21875" customWidth="1"/>
    <col min="7" max="7" width="13.33203125" customWidth="1"/>
    <col min="9" max="9" width="14.33203125" bestFit="1" customWidth="1"/>
  </cols>
  <sheetData>
    <row r="1" spans="1:9" x14ac:dyDescent="0.3">
      <c r="A1" s="2" t="s">
        <v>1</v>
      </c>
      <c r="B1" s="2" t="s">
        <v>21</v>
      </c>
      <c r="C1" s="2" t="s">
        <v>97</v>
      </c>
      <c r="D1" s="2" t="s">
        <v>34</v>
      </c>
      <c r="E1" s="2" t="s">
        <v>35</v>
      </c>
      <c r="F1" s="2" t="s">
        <v>98</v>
      </c>
      <c r="G1" s="2" t="s">
        <v>99</v>
      </c>
      <c r="H1" s="2" t="s">
        <v>65</v>
      </c>
      <c r="I1" s="2" t="s">
        <v>165</v>
      </c>
    </row>
    <row r="2" spans="1:9" ht="28.05" customHeight="1" x14ac:dyDescent="0.3">
      <c r="A2" s="1">
        <v>2015</v>
      </c>
      <c r="B2" s="1" t="s">
        <v>100</v>
      </c>
      <c r="C2" s="1" t="s">
        <v>101</v>
      </c>
      <c r="D2" s="1" t="s">
        <v>102</v>
      </c>
      <c r="E2" s="1">
        <v>302</v>
      </c>
      <c r="F2" s="1" t="s">
        <v>103</v>
      </c>
      <c r="G2" s="1" t="s">
        <v>104</v>
      </c>
      <c r="H2" s="1" t="s">
        <v>105</v>
      </c>
      <c r="I2" s="1" t="str">
        <f>IF(OR(tbl_MasterData[[#This Row],[Subcategory]]="Internet",tbl_MasterData[[#This Row],[Subcategory]]="Social Media"),tbl_MasterData[[#This Row],[Subcategory]],"")</f>
        <v>Internet</v>
      </c>
    </row>
    <row r="3" spans="1:9" ht="28.05" customHeight="1" x14ac:dyDescent="0.3">
      <c r="A3" s="1">
        <v>2016</v>
      </c>
      <c r="B3" s="1" t="s">
        <v>100</v>
      </c>
      <c r="C3" s="1" t="s">
        <v>101</v>
      </c>
      <c r="D3" s="1" t="s">
        <v>102</v>
      </c>
      <c r="E3" s="1">
        <v>342</v>
      </c>
      <c r="F3" s="1" t="s">
        <v>103</v>
      </c>
      <c r="G3" s="1" t="s">
        <v>104</v>
      </c>
      <c r="H3" s="1" t="s">
        <v>105</v>
      </c>
      <c r="I3" s="1" t="str">
        <f>IF(OR(tbl_MasterData[[#This Row],[Subcategory]]="Internet",tbl_MasterData[[#This Row],[Subcategory]]="Social Media"),tbl_MasterData[[#This Row],[Subcategory]],"")</f>
        <v>Internet</v>
      </c>
    </row>
    <row r="4" spans="1:9" ht="28.05" customHeight="1" x14ac:dyDescent="0.3">
      <c r="A4" s="1">
        <v>2017</v>
      </c>
      <c r="B4" s="1" t="s">
        <v>100</v>
      </c>
      <c r="C4" s="1" t="s">
        <v>101</v>
      </c>
      <c r="D4" s="1" t="s">
        <v>102</v>
      </c>
      <c r="E4" s="1">
        <v>391</v>
      </c>
      <c r="F4" s="1" t="s">
        <v>103</v>
      </c>
      <c r="G4" s="1" t="s">
        <v>104</v>
      </c>
      <c r="H4" s="1" t="s">
        <v>105</v>
      </c>
      <c r="I4" s="1" t="str">
        <f>IF(OR(tbl_MasterData[[#This Row],[Subcategory]]="Internet",tbl_MasterData[[#This Row],[Subcategory]]="Social Media"),tbl_MasterData[[#This Row],[Subcategory]],"")</f>
        <v>Internet</v>
      </c>
    </row>
    <row r="5" spans="1:9" ht="28.05" customHeight="1" x14ac:dyDescent="0.3">
      <c r="A5" s="1">
        <v>2018</v>
      </c>
      <c r="B5" s="1" t="s">
        <v>100</v>
      </c>
      <c r="C5" s="1" t="s">
        <v>101</v>
      </c>
      <c r="D5" s="1" t="s">
        <v>102</v>
      </c>
      <c r="E5" s="1">
        <v>483</v>
      </c>
      <c r="F5" s="1" t="s">
        <v>103</v>
      </c>
      <c r="G5" s="1" t="s">
        <v>104</v>
      </c>
      <c r="H5" s="1" t="s">
        <v>105</v>
      </c>
      <c r="I5" s="1" t="str">
        <f>IF(OR(tbl_MasterData[[#This Row],[Subcategory]]="Internet",tbl_MasterData[[#This Row],[Subcategory]]="Social Media"),tbl_MasterData[[#This Row],[Subcategory]],"")</f>
        <v>Internet</v>
      </c>
    </row>
    <row r="6" spans="1:9" ht="28.05" customHeight="1" x14ac:dyDescent="0.3">
      <c r="A6" s="1">
        <v>2019</v>
      </c>
      <c r="B6" s="1" t="s">
        <v>100</v>
      </c>
      <c r="C6" s="1" t="s">
        <v>101</v>
      </c>
      <c r="D6" s="1" t="s">
        <v>102</v>
      </c>
      <c r="E6" s="1">
        <v>560</v>
      </c>
      <c r="F6" s="1" t="s">
        <v>103</v>
      </c>
      <c r="G6" s="1" t="s">
        <v>104</v>
      </c>
      <c r="H6" s="1" t="s">
        <v>105</v>
      </c>
      <c r="I6" s="1" t="str">
        <f>IF(OR(tbl_MasterData[[#This Row],[Subcategory]]="Internet",tbl_MasterData[[#This Row],[Subcategory]]="Social Media"),tbl_MasterData[[#This Row],[Subcategory]],"")</f>
        <v>Internet</v>
      </c>
    </row>
    <row r="7" spans="1:9" ht="28.05" customHeight="1" x14ac:dyDescent="0.3">
      <c r="A7" s="1">
        <v>2020</v>
      </c>
      <c r="B7" s="1" t="s">
        <v>100</v>
      </c>
      <c r="C7" s="1" t="s">
        <v>101</v>
      </c>
      <c r="D7" s="1" t="s">
        <v>102</v>
      </c>
      <c r="E7" s="1">
        <v>624</v>
      </c>
      <c r="F7" s="1" t="s">
        <v>103</v>
      </c>
      <c r="G7" s="1" t="s">
        <v>104</v>
      </c>
      <c r="H7" s="1" t="s">
        <v>105</v>
      </c>
      <c r="I7" s="1" t="str">
        <f>IF(OR(tbl_MasterData[[#This Row],[Subcategory]]="Internet",tbl_MasterData[[#This Row],[Subcategory]]="Social Media"),tbl_MasterData[[#This Row],[Subcategory]],"")</f>
        <v>Internet</v>
      </c>
    </row>
    <row r="8" spans="1:9" ht="28.05" customHeight="1" x14ac:dyDescent="0.3">
      <c r="A8" s="1">
        <v>2021</v>
      </c>
      <c r="B8" s="1" t="s">
        <v>100</v>
      </c>
      <c r="C8" s="1" t="s">
        <v>101</v>
      </c>
      <c r="D8" s="1" t="s">
        <v>102</v>
      </c>
      <c r="E8" s="1">
        <v>658</v>
      </c>
      <c r="F8" s="1" t="s">
        <v>103</v>
      </c>
      <c r="G8" s="1" t="s">
        <v>104</v>
      </c>
      <c r="H8" s="1" t="s">
        <v>105</v>
      </c>
      <c r="I8" s="1" t="str">
        <f>IF(OR(tbl_MasterData[[#This Row],[Subcategory]]="Internet",tbl_MasterData[[#This Row],[Subcategory]]="Social Media"),tbl_MasterData[[#This Row],[Subcategory]],"")</f>
        <v>Internet</v>
      </c>
    </row>
    <row r="9" spans="1:9" ht="28.05" customHeight="1" x14ac:dyDescent="0.3">
      <c r="A9" s="1">
        <v>2022</v>
      </c>
      <c r="B9" s="1" t="s">
        <v>100</v>
      </c>
      <c r="C9" s="1" t="s">
        <v>101</v>
      </c>
      <c r="D9" s="1" t="s">
        <v>102</v>
      </c>
      <c r="E9" s="1">
        <v>692</v>
      </c>
      <c r="F9" s="1" t="s">
        <v>103</v>
      </c>
      <c r="G9" s="1" t="s">
        <v>104</v>
      </c>
      <c r="H9" s="1" t="s">
        <v>105</v>
      </c>
      <c r="I9" s="1" t="str">
        <f>IF(OR(tbl_MasterData[[#This Row],[Subcategory]]="Internet",tbl_MasterData[[#This Row],[Subcategory]]="Social Media"),tbl_MasterData[[#This Row],[Subcategory]],"")</f>
        <v>Internet</v>
      </c>
    </row>
    <row r="10" spans="1:9" ht="28.05" customHeight="1" x14ac:dyDescent="0.3">
      <c r="A10" s="1">
        <v>2023</v>
      </c>
      <c r="B10" s="1" t="s">
        <v>100</v>
      </c>
      <c r="C10" s="1" t="s">
        <v>101</v>
      </c>
      <c r="D10" s="1" t="s">
        <v>102</v>
      </c>
      <c r="E10" s="1">
        <v>751</v>
      </c>
      <c r="F10" s="1" t="s">
        <v>103</v>
      </c>
      <c r="G10" s="1" t="s">
        <v>104</v>
      </c>
      <c r="H10" s="1" t="s">
        <v>105</v>
      </c>
      <c r="I10" s="1" t="str">
        <f>IF(OR(tbl_MasterData[[#This Row],[Subcategory]]="Internet",tbl_MasterData[[#This Row],[Subcategory]]="Social Media"),tbl_MasterData[[#This Row],[Subcategory]],"")</f>
        <v>Internet</v>
      </c>
    </row>
    <row r="11" spans="1:9" ht="28.05" customHeight="1" x14ac:dyDescent="0.3">
      <c r="A11" s="1">
        <v>2024</v>
      </c>
      <c r="B11" s="1" t="s">
        <v>100</v>
      </c>
      <c r="C11" s="1" t="s">
        <v>101</v>
      </c>
      <c r="D11" s="1" t="s">
        <v>102</v>
      </c>
      <c r="E11" s="1">
        <v>757</v>
      </c>
      <c r="F11" s="1" t="s">
        <v>103</v>
      </c>
      <c r="G11" s="1" t="s">
        <v>104</v>
      </c>
      <c r="H11" s="1" t="s">
        <v>105</v>
      </c>
      <c r="I11" s="1" t="str">
        <f>IF(OR(tbl_MasterData[[#This Row],[Subcategory]]="Internet",tbl_MasterData[[#This Row],[Subcategory]]="Social Media"),tbl_MasterData[[#This Row],[Subcategory]],"")</f>
        <v>Internet</v>
      </c>
    </row>
    <row r="12" spans="1:9" ht="28.05" customHeight="1" x14ac:dyDescent="0.3">
      <c r="A12" s="1">
        <v>2025</v>
      </c>
      <c r="B12" s="1" t="s">
        <v>100</v>
      </c>
      <c r="C12" s="1" t="s">
        <v>101</v>
      </c>
      <c r="D12" s="1" t="s">
        <v>102</v>
      </c>
      <c r="E12" s="1">
        <v>806</v>
      </c>
      <c r="F12" s="1" t="s">
        <v>103</v>
      </c>
      <c r="G12" s="1" t="s">
        <v>104</v>
      </c>
      <c r="H12" s="1" t="s">
        <v>105</v>
      </c>
      <c r="I12" s="1" t="str">
        <f>IF(OR(tbl_MasterData[[#This Row],[Subcategory]]="Internet",tbl_MasterData[[#This Row],[Subcategory]]="Social Media"),tbl_MasterData[[#This Row],[Subcategory]],"")</f>
        <v>Internet</v>
      </c>
    </row>
    <row r="13" spans="1:9" ht="28.05" customHeight="1" x14ac:dyDescent="0.3">
      <c r="A13" s="1">
        <v>2015</v>
      </c>
      <c r="B13" s="1" t="s">
        <v>100</v>
      </c>
      <c r="C13" s="1" t="s">
        <v>106</v>
      </c>
      <c r="D13" s="1" t="s">
        <v>102</v>
      </c>
      <c r="E13" s="1">
        <v>142</v>
      </c>
      <c r="F13" s="1" t="s">
        <v>103</v>
      </c>
      <c r="G13" s="1" t="s">
        <v>104</v>
      </c>
      <c r="H13" s="1" t="s">
        <v>105</v>
      </c>
      <c r="I13" s="1" t="str">
        <f>IF(OR(tbl_MasterData[[#This Row],[Subcategory]]="Internet",tbl_MasterData[[#This Row],[Subcategory]]="Social Media"),tbl_MasterData[[#This Row],[Subcategory]],"")</f>
        <v>Social Media</v>
      </c>
    </row>
    <row r="14" spans="1:9" ht="28.05" customHeight="1" x14ac:dyDescent="0.3">
      <c r="A14" s="1">
        <v>2016</v>
      </c>
      <c r="B14" s="1" t="s">
        <v>100</v>
      </c>
      <c r="C14" s="1" t="s">
        <v>106</v>
      </c>
      <c r="D14" s="1" t="s">
        <v>102</v>
      </c>
      <c r="E14" s="1">
        <v>168</v>
      </c>
      <c r="F14" s="1" t="s">
        <v>103</v>
      </c>
      <c r="G14" s="1" t="s">
        <v>104</v>
      </c>
      <c r="H14" s="1" t="s">
        <v>105</v>
      </c>
      <c r="I14" s="1" t="str">
        <f>IF(OR(tbl_MasterData[[#This Row],[Subcategory]]="Internet",tbl_MasterData[[#This Row],[Subcategory]]="Social Media"),tbl_MasterData[[#This Row],[Subcategory]],"")</f>
        <v>Social Media</v>
      </c>
    </row>
    <row r="15" spans="1:9" ht="28.05" customHeight="1" x14ac:dyDescent="0.3">
      <c r="A15" s="1">
        <v>2017</v>
      </c>
      <c r="B15" s="1" t="s">
        <v>100</v>
      </c>
      <c r="C15" s="1" t="s">
        <v>106</v>
      </c>
      <c r="D15" s="1" t="s">
        <v>102</v>
      </c>
      <c r="E15" s="1">
        <v>239</v>
      </c>
      <c r="F15" s="1" t="s">
        <v>103</v>
      </c>
      <c r="G15" s="1" t="s">
        <v>104</v>
      </c>
      <c r="H15" s="1" t="s">
        <v>105</v>
      </c>
      <c r="I15" s="1" t="str">
        <f>IF(OR(tbl_MasterData[[#This Row],[Subcategory]]="Internet",tbl_MasterData[[#This Row],[Subcategory]]="Social Media"),tbl_MasterData[[#This Row],[Subcategory]],"")</f>
        <v>Social Media</v>
      </c>
    </row>
    <row r="16" spans="1:9" ht="28.05" customHeight="1" x14ac:dyDescent="0.3">
      <c r="A16" s="1">
        <v>2018</v>
      </c>
      <c r="B16" s="1" t="s">
        <v>100</v>
      </c>
      <c r="C16" s="1" t="s">
        <v>106</v>
      </c>
      <c r="D16" s="1" t="s">
        <v>102</v>
      </c>
      <c r="E16" s="1">
        <v>326</v>
      </c>
      <c r="F16" s="1" t="s">
        <v>103</v>
      </c>
      <c r="G16" s="1" t="s">
        <v>104</v>
      </c>
      <c r="H16" s="1" t="s">
        <v>105</v>
      </c>
      <c r="I16" s="1" t="str">
        <f>IF(OR(tbl_MasterData[[#This Row],[Subcategory]]="Internet",tbl_MasterData[[#This Row],[Subcategory]]="Social Media"),tbl_MasterData[[#This Row],[Subcategory]],"")</f>
        <v>Social Media</v>
      </c>
    </row>
    <row r="17" spans="1:9" ht="28.05" customHeight="1" x14ac:dyDescent="0.3">
      <c r="A17" s="1">
        <v>2019</v>
      </c>
      <c r="B17" s="1" t="s">
        <v>100</v>
      </c>
      <c r="C17" s="1" t="s">
        <v>106</v>
      </c>
      <c r="D17" s="1" t="s">
        <v>102</v>
      </c>
      <c r="E17" s="1">
        <v>351</v>
      </c>
      <c r="F17" s="1" t="s">
        <v>103</v>
      </c>
      <c r="G17" s="1" t="s">
        <v>104</v>
      </c>
      <c r="H17" s="1" t="s">
        <v>105</v>
      </c>
      <c r="I17" s="1" t="str">
        <f>IF(OR(tbl_MasterData[[#This Row],[Subcategory]]="Internet",tbl_MasterData[[#This Row],[Subcategory]]="Social Media"),tbl_MasterData[[#This Row],[Subcategory]],"")</f>
        <v>Social Media</v>
      </c>
    </row>
    <row r="18" spans="1:9" ht="28.05" customHeight="1" x14ac:dyDescent="0.3">
      <c r="A18" s="1">
        <v>2020</v>
      </c>
      <c r="B18" s="1" t="s">
        <v>100</v>
      </c>
      <c r="C18" s="1" t="s">
        <v>106</v>
      </c>
      <c r="D18" s="1" t="s">
        <v>102</v>
      </c>
      <c r="E18" s="1">
        <v>376</v>
      </c>
      <c r="F18" s="1" t="s">
        <v>103</v>
      </c>
      <c r="G18" s="1" t="s">
        <v>104</v>
      </c>
      <c r="H18" s="1" t="s">
        <v>105</v>
      </c>
      <c r="I18" s="1" t="str">
        <f>IF(OR(tbl_MasterData[[#This Row],[Subcategory]]="Internet",tbl_MasterData[[#This Row],[Subcategory]]="Social Media"),tbl_MasterData[[#This Row],[Subcategory]],"")</f>
        <v>Social Media</v>
      </c>
    </row>
    <row r="19" spans="1:9" ht="28.05" customHeight="1" x14ac:dyDescent="0.3">
      <c r="A19" s="1">
        <v>2021</v>
      </c>
      <c r="B19" s="1" t="s">
        <v>100</v>
      </c>
      <c r="C19" s="1" t="s">
        <v>106</v>
      </c>
      <c r="D19" s="1" t="s">
        <v>102</v>
      </c>
      <c r="E19" s="1">
        <v>448</v>
      </c>
      <c r="F19" s="1" t="s">
        <v>103</v>
      </c>
      <c r="G19" s="1" t="s">
        <v>104</v>
      </c>
      <c r="H19" s="1" t="s">
        <v>105</v>
      </c>
      <c r="I19" s="1" t="str">
        <f>IF(OR(tbl_MasterData[[#This Row],[Subcategory]]="Internet",tbl_MasterData[[#This Row],[Subcategory]]="Social Media"),tbl_MasterData[[#This Row],[Subcategory]],"")</f>
        <v>Social Media</v>
      </c>
    </row>
    <row r="20" spans="1:9" ht="28.05" customHeight="1" x14ac:dyDescent="0.3">
      <c r="A20" s="1">
        <v>2022</v>
      </c>
      <c r="B20" s="1" t="s">
        <v>100</v>
      </c>
      <c r="C20" s="1" t="s">
        <v>106</v>
      </c>
      <c r="D20" s="1" t="s">
        <v>102</v>
      </c>
      <c r="E20" s="1">
        <v>467</v>
      </c>
      <c r="F20" s="1" t="s">
        <v>103</v>
      </c>
      <c r="G20" s="1" t="s">
        <v>104</v>
      </c>
      <c r="H20" s="1" t="s">
        <v>105</v>
      </c>
      <c r="I20" s="1" t="str">
        <f>IF(OR(tbl_MasterData[[#This Row],[Subcategory]]="Internet",tbl_MasterData[[#This Row],[Subcategory]]="Social Media"),tbl_MasterData[[#This Row],[Subcategory]],"")</f>
        <v>Social Media</v>
      </c>
    </row>
    <row r="21" spans="1:9" ht="28.05" customHeight="1" x14ac:dyDescent="0.3">
      <c r="A21" s="1">
        <v>2023</v>
      </c>
      <c r="B21" s="1" t="s">
        <v>100</v>
      </c>
      <c r="C21" s="1" t="s">
        <v>106</v>
      </c>
      <c r="D21" s="1" t="s">
        <v>102</v>
      </c>
      <c r="E21" s="1">
        <v>462</v>
      </c>
      <c r="F21" s="1" t="s">
        <v>103</v>
      </c>
      <c r="G21" s="1" t="s">
        <v>104</v>
      </c>
      <c r="H21" s="1" t="s">
        <v>105</v>
      </c>
      <c r="I21" s="1" t="str">
        <f>IF(OR(tbl_MasterData[[#This Row],[Subcategory]]="Internet",tbl_MasterData[[#This Row],[Subcategory]]="Social Media"),tbl_MasterData[[#This Row],[Subcategory]],"")</f>
        <v>Social Media</v>
      </c>
    </row>
    <row r="22" spans="1:9" ht="28.05" customHeight="1" x14ac:dyDescent="0.3">
      <c r="A22" s="1">
        <v>2024</v>
      </c>
      <c r="B22" s="1" t="s">
        <v>100</v>
      </c>
      <c r="C22" s="1" t="s">
        <v>106</v>
      </c>
      <c r="D22" s="1" t="s">
        <v>102</v>
      </c>
      <c r="E22" s="1">
        <v>462</v>
      </c>
      <c r="F22" s="1" t="s">
        <v>103</v>
      </c>
      <c r="G22" s="1" t="s">
        <v>104</v>
      </c>
      <c r="H22" s="1" t="s">
        <v>105</v>
      </c>
      <c r="I22" s="1" t="str">
        <f>IF(OR(tbl_MasterData[[#This Row],[Subcategory]]="Internet",tbl_MasterData[[#This Row],[Subcategory]]="Social Media"),tbl_MasterData[[#This Row],[Subcategory]],"")</f>
        <v>Social Media</v>
      </c>
    </row>
    <row r="23" spans="1:9" ht="28.05" customHeight="1" x14ac:dyDescent="0.3">
      <c r="A23" s="1">
        <v>2025</v>
      </c>
      <c r="B23" s="1" t="s">
        <v>100</v>
      </c>
      <c r="C23" s="1" t="s">
        <v>106</v>
      </c>
      <c r="D23" s="1" t="s">
        <v>102</v>
      </c>
      <c r="E23" s="1">
        <v>491</v>
      </c>
      <c r="F23" s="1" t="s">
        <v>103</v>
      </c>
      <c r="G23" s="1" t="s">
        <v>104</v>
      </c>
      <c r="H23" s="1" t="s">
        <v>105</v>
      </c>
      <c r="I23" s="1" t="str">
        <f>IF(OR(tbl_MasterData[[#This Row],[Subcategory]]="Internet",tbl_MasterData[[#This Row],[Subcategory]]="Social Media"),tbl_MasterData[[#This Row],[Subcategory]],"")</f>
        <v>Social Media</v>
      </c>
    </row>
    <row r="24" spans="1:9" ht="28.05" customHeight="1" x14ac:dyDescent="0.3">
      <c r="A24" s="1">
        <v>2025</v>
      </c>
      <c r="B24" s="1" t="s">
        <v>19</v>
      </c>
      <c r="C24" s="1" t="s">
        <v>22</v>
      </c>
      <c r="D24" s="1" t="s">
        <v>102</v>
      </c>
      <c r="E24" s="1">
        <v>500</v>
      </c>
      <c r="F24" s="1" t="s">
        <v>103</v>
      </c>
      <c r="G24" s="1" t="s">
        <v>104</v>
      </c>
      <c r="H24" s="1" t="s">
        <v>105</v>
      </c>
      <c r="I24" s="1" t="str">
        <f>IF(OR(tbl_MasterData[[#This Row],[Subcategory]]="Internet",tbl_MasterData[[#This Row],[Subcategory]]="Social Media"),tbl_MasterData[[#This Row],[Subcategory]],"")</f>
        <v/>
      </c>
    </row>
    <row r="25" spans="1:9" ht="28.05" customHeight="1" x14ac:dyDescent="0.3">
      <c r="A25" s="1">
        <v>2025</v>
      </c>
      <c r="B25" s="1" t="s">
        <v>19</v>
      </c>
      <c r="C25" s="1" t="s">
        <v>24</v>
      </c>
      <c r="D25" s="1" t="s">
        <v>102</v>
      </c>
      <c r="E25" s="1">
        <v>414</v>
      </c>
      <c r="F25" s="1" t="s">
        <v>103</v>
      </c>
      <c r="G25" s="1" t="s">
        <v>104</v>
      </c>
      <c r="H25" s="1" t="s">
        <v>105</v>
      </c>
      <c r="I25" s="1" t="str">
        <f>IF(OR(tbl_MasterData[[#This Row],[Subcategory]]="Internet",tbl_MasterData[[#This Row],[Subcategory]]="Social Media"),tbl_MasterData[[#This Row],[Subcategory]],"")</f>
        <v/>
      </c>
    </row>
    <row r="26" spans="1:9" ht="28.05" customHeight="1" x14ac:dyDescent="0.3">
      <c r="A26" s="1">
        <v>2025</v>
      </c>
      <c r="B26" s="1" t="s">
        <v>19</v>
      </c>
      <c r="C26" s="1" t="s">
        <v>26</v>
      </c>
      <c r="D26" s="1" t="s">
        <v>102</v>
      </c>
      <c r="E26" s="1">
        <v>384</v>
      </c>
      <c r="F26" s="1" t="s">
        <v>103</v>
      </c>
      <c r="G26" s="1" t="s">
        <v>104</v>
      </c>
      <c r="H26" s="1" t="s">
        <v>105</v>
      </c>
      <c r="I26" s="1" t="str">
        <f>IF(OR(tbl_MasterData[[#This Row],[Subcategory]]="Internet",tbl_MasterData[[#This Row],[Subcategory]]="Social Media"),tbl_MasterData[[#This Row],[Subcategory]],"")</f>
        <v/>
      </c>
    </row>
    <row r="27" spans="1:9" ht="28.05" customHeight="1" x14ac:dyDescent="0.3">
      <c r="A27" s="1">
        <v>2025</v>
      </c>
      <c r="B27" s="1" t="s">
        <v>19</v>
      </c>
      <c r="C27" s="1" t="s">
        <v>27</v>
      </c>
      <c r="D27" s="1" t="s">
        <v>102</v>
      </c>
      <c r="E27" s="1">
        <v>213</v>
      </c>
      <c r="F27" s="1" t="s">
        <v>103</v>
      </c>
      <c r="G27" s="1" t="s">
        <v>104</v>
      </c>
      <c r="H27" s="1" t="s">
        <v>105</v>
      </c>
      <c r="I27" s="1" t="str">
        <f>IF(OR(tbl_MasterData[[#This Row],[Subcategory]]="Internet",tbl_MasterData[[#This Row],[Subcategory]]="Social Media"),tbl_MasterData[[#This Row],[Subcategory]],"")</f>
        <v/>
      </c>
    </row>
    <row r="28" spans="1:9" ht="28.05" customHeight="1" x14ac:dyDescent="0.3">
      <c r="A28" s="1">
        <v>2025</v>
      </c>
      <c r="B28" s="1" t="s">
        <v>107</v>
      </c>
      <c r="C28" s="1" t="s">
        <v>108</v>
      </c>
      <c r="D28" s="1" t="s">
        <v>109</v>
      </c>
      <c r="E28" s="1">
        <v>95</v>
      </c>
      <c r="F28" s="1" t="s">
        <v>110</v>
      </c>
      <c r="G28" s="1" t="s">
        <v>111</v>
      </c>
      <c r="H28" s="1" t="s">
        <v>112</v>
      </c>
      <c r="I28" s="1" t="str">
        <f>IF(OR(tbl_MasterData[[#This Row],[Subcategory]]="Internet",tbl_MasterData[[#This Row],[Subcategory]]="Social Media"),tbl_MasterData[[#This Row],[Subcategory]],"")</f>
        <v/>
      </c>
    </row>
    <row r="29" spans="1:9" ht="28.05" customHeight="1" x14ac:dyDescent="0.3">
      <c r="A29" s="1">
        <v>2025</v>
      </c>
      <c r="B29" s="1" t="s">
        <v>107</v>
      </c>
      <c r="C29" s="1" t="s">
        <v>113</v>
      </c>
      <c r="D29" s="1" t="s">
        <v>109</v>
      </c>
      <c r="E29" s="1">
        <v>4</v>
      </c>
      <c r="F29" s="1" t="s">
        <v>110</v>
      </c>
      <c r="G29" s="1" t="s">
        <v>111</v>
      </c>
      <c r="H29" s="1" t="s">
        <v>112</v>
      </c>
      <c r="I29" s="1" t="str">
        <f>IF(OR(tbl_MasterData[[#This Row],[Subcategory]]="Internet",tbl_MasterData[[#This Row],[Subcategory]]="Social Media"),tbl_MasterData[[#This Row],[Subcategory]],"")</f>
        <v/>
      </c>
    </row>
    <row r="30" spans="1:9" ht="28.05" customHeight="1" x14ac:dyDescent="0.3">
      <c r="A30" s="1">
        <v>2025</v>
      </c>
      <c r="B30" s="1" t="s">
        <v>107</v>
      </c>
      <c r="C30" s="1" t="s">
        <v>114</v>
      </c>
      <c r="D30" s="1" t="s">
        <v>109</v>
      </c>
      <c r="E30" s="1">
        <v>1</v>
      </c>
      <c r="F30" s="1" t="s">
        <v>110</v>
      </c>
      <c r="G30" s="1" t="s">
        <v>111</v>
      </c>
      <c r="H30" s="1" t="s">
        <v>112</v>
      </c>
      <c r="I30" s="1" t="str">
        <f>IF(OR(tbl_MasterData[[#This Row],[Subcategory]]="Internet",tbl_MasterData[[#This Row],[Subcategory]]="Social Media"),tbl_MasterData[[#This Row],[Subcategory]],"")</f>
        <v/>
      </c>
    </row>
    <row r="31" spans="1:9" ht="28.05" customHeight="1" x14ac:dyDescent="0.3">
      <c r="A31" s="1">
        <v>2024</v>
      </c>
      <c r="B31" s="1" t="s">
        <v>67</v>
      </c>
      <c r="C31" s="1" t="s">
        <v>115</v>
      </c>
      <c r="D31" s="1" t="s">
        <v>116</v>
      </c>
      <c r="E31" s="1">
        <v>57</v>
      </c>
      <c r="F31" s="1" t="s">
        <v>110</v>
      </c>
      <c r="G31" s="1" t="s">
        <v>117</v>
      </c>
      <c r="H31" s="1" t="s">
        <v>105</v>
      </c>
      <c r="I31" s="1" t="str">
        <f>IF(OR(tbl_MasterData[[#This Row],[Subcategory]]="Internet",tbl_MasterData[[#This Row],[Subcategory]]="Social Media"),tbl_MasterData[[#This Row],[Subcategory]],"")</f>
        <v/>
      </c>
    </row>
    <row r="32" spans="1:9" ht="28.05" customHeight="1" x14ac:dyDescent="0.3">
      <c r="A32" s="1">
        <v>2024</v>
      </c>
      <c r="B32" s="1" t="s">
        <v>118</v>
      </c>
      <c r="C32" s="1" t="s">
        <v>93</v>
      </c>
      <c r="D32" s="1" t="s">
        <v>119</v>
      </c>
      <c r="E32" s="1">
        <v>76</v>
      </c>
      <c r="F32" s="1" t="s">
        <v>110</v>
      </c>
      <c r="G32" s="1" t="s">
        <v>117</v>
      </c>
      <c r="H32" s="1" t="s">
        <v>112</v>
      </c>
      <c r="I32" s="1" t="str">
        <f>IF(OR(tbl_MasterData[[#This Row],[Subcategory]]="Internet",tbl_MasterData[[#This Row],[Subcategory]]="Social Media"),tbl_MasterData[[#This Row],[Subcategory]],"")</f>
        <v/>
      </c>
    </row>
    <row r="33" spans="1:9" ht="28.05" customHeight="1" x14ac:dyDescent="0.3">
      <c r="A33" s="1">
        <v>2024</v>
      </c>
      <c r="B33" s="1" t="s">
        <v>118</v>
      </c>
      <c r="C33" s="1" t="s">
        <v>93</v>
      </c>
      <c r="D33" s="1" t="s">
        <v>120</v>
      </c>
      <c r="E33" s="1">
        <v>82.2</v>
      </c>
      <c r="F33" s="1" t="s">
        <v>110</v>
      </c>
      <c r="G33" s="1" t="s">
        <v>117</v>
      </c>
      <c r="H33" s="1" t="s">
        <v>112</v>
      </c>
      <c r="I33" s="1" t="str">
        <f>IF(OR(tbl_MasterData[[#This Row],[Subcategory]]="Internet",tbl_MasterData[[#This Row],[Subcategory]]="Social Media"),tbl_MasterData[[#This Row],[Subcategory]],"")</f>
        <v/>
      </c>
    </row>
    <row r="34" spans="1:9" ht="28.05" customHeight="1" x14ac:dyDescent="0.3">
      <c r="A34" s="1">
        <v>2024</v>
      </c>
      <c r="B34" s="1" t="s">
        <v>118</v>
      </c>
      <c r="C34" s="1" t="s">
        <v>93</v>
      </c>
      <c r="D34" s="1" t="s">
        <v>121</v>
      </c>
      <c r="E34" s="1">
        <v>90</v>
      </c>
      <c r="F34" s="1" t="s">
        <v>110</v>
      </c>
      <c r="G34" s="1" t="s">
        <v>117</v>
      </c>
      <c r="H34" s="1" t="s">
        <v>112</v>
      </c>
      <c r="I34" s="1" t="str">
        <f>IF(OR(tbl_MasterData[[#This Row],[Subcategory]]="Internet",tbl_MasterData[[#This Row],[Subcategory]]="Social Media"),tbl_MasterData[[#This Row],[Subcategory]],"")</f>
        <v/>
      </c>
    </row>
    <row r="35" spans="1:9" ht="28.05" customHeight="1" x14ac:dyDescent="0.3">
      <c r="A35" s="1">
        <v>2024</v>
      </c>
      <c r="B35" s="1" t="s">
        <v>118</v>
      </c>
      <c r="C35" s="1" t="s">
        <v>122</v>
      </c>
      <c r="D35" s="1" t="s">
        <v>123</v>
      </c>
      <c r="E35" s="1">
        <v>27</v>
      </c>
      <c r="F35" s="1" t="s">
        <v>110</v>
      </c>
      <c r="G35" s="1" t="s">
        <v>117</v>
      </c>
      <c r="H35" s="1" t="s">
        <v>112</v>
      </c>
      <c r="I35" s="1" t="str">
        <f>IF(OR(tbl_MasterData[[#This Row],[Subcategory]]="Internet",tbl_MasterData[[#This Row],[Subcategory]]="Social Media"),tbl_MasterData[[#This Row],[Subcategory]],"")</f>
        <v/>
      </c>
    </row>
    <row r="36" spans="1:9" ht="28.05" customHeight="1" x14ac:dyDescent="0.3">
      <c r="A36" s="1">
        <v>2024</v>
      </c>
      <c r="B36" s="1" t="s">
        <v>118</v>
      </c>
      <c r="C36" s="1" t="s">
        <v>124</v>
      </c>
      <c r="D36" s="1" t="s">
        <v>123</v>
      </c>
      <c r="E36" s="1">
        <v>37.799999999999997</v>
      </c>
      <c r="F36" s="1" t="s">
        <v>110</v>
      </c>
      <c r="G36" s="1" t="s">
        <v>117</v>
      </c>
      <c r="H36" s="1" t="s">
        <v>112</v>
      </c>
      <c r="I36" s="1" t="str">
        <f>IF(OR(tbl_MasterData[[#This Row],[Subcategory]]="Internet",tbl_MasterData[[#This Row],[Subcategory]]="Social Media"),tbl_MasterData[[#This Row],[Subcategory]],"")</f>
        <v/>
      </c>
    </row>
    <row r="37" spans="1:9" ht="28.05" customHeight="1" x14ac:dyDescent="0.3">
      <c r="A37" s="1">
        <v>2025</v>
      </c>
      <c r="B37" s="1" t="s">
        <v>44</v>
      </c>
      <c r="C37" s="1" t="s">
        <v>125</v>
      </c>
      <c r="D37" s="1" t="s">
        <v>126</v>
      </c>
      <c r="E37" s="1">
        <v>96.8</v>
      </c>
      <c r="F37" s="1" t="s">
        <v>110</v>
      </c>
      <c r="G37" s="1" t="s">
        <v>117</v>
      </c>
      <c r="H37" s="1" t="s">
        <v>105</v>
      </c>
      <c r="I37" s="1" t="str">
        <f>IF(OR(tbl_MasterData[[#This Row],[Subcategory]]="Internet",tbl_MasterData[[#This Row],[Subcategory]]="Social Media"),tbl_MasterData[[#This Row],[Subcategory]],"")</f>
        <v/>
      </c>
    </row>
    <row r="38" spans="1:9" ht="28.05" customHeight="1" x14ac:dyDescent="0.3">
      <c r="A38" s="1">
        <v>2025</v>
      </c>
      <c r="B38" s="1" t="s">
        <v>45</v>
      </c>
      <c r="C38" s="1" t="s">
        <v>125</v>
      </c>
      <c r="D38" s="1" t="s">
        <v>126</v>
      </c>
      <c r="E38" s="1">
        <v>97.6</v>
      </c>
      <c r="F38" s="1" t="s">
        <v>110</v>
      </c>
      <c r="G38" s="1" t="s">
        <v>117</v>
      </c>
      <c r="H38" s="1" t="s">
        <v>105</v>
      </c>
      <c r="I38" s="1" t="str">
        <f>IF(OR(tbl_MasterData[[#This Row],[Subcategory]]="Internet",tbl_MasterData[[#This Row],[Subcategory]]="Social Media"),tbl_MasterData[[#This Row],[Subcategory]],"")</f>
        <v/>
      </c>
    </row>
    <row r="39" spans="1:9" ht="28.05" customHeight="1" x14ac:dyDescent="0.3">
      <c r="A39" s="1">
        <v>2025</v>
      </c>
      <c r="B39" s="1" t="s">
        <v>44</v>
      </c>
      <c r="C39" s="1" t="s">
        <v>125</v>
      </c>
      <c r="D39" s="1" t="s">
        <v>127</v>
      </c>
      <c r="E39" s="1">
        <v>92.7</v>
      </c>
      <c r="F39" s="1" t="s">
        <v>110</v>
      </c>
      <c r="G39" s="1" t="s">
        <v>117</v>
      </c>
      <c r="H39" s="1" t="s">
        <v>105</v>
      </c>
      <c r="I39" s="1" t="str">
        <f>IF(OR(tbl_MasterData[[#This Row],[Subcategory]]="Internet",tbl_MasterData[[#This Row],[Subcategory]]="Social Media"),tbl_MasterData[[#This Row],[Subcategory]],"")</f>
        <v/>
      </c>
    </row>
    <row r="40" spans="1:9" ht="28.05" customHeight="1" x14ac:dyDescent="0.3">
      <c r="A40" s="1">
        <v>2025</v>
      </c>
      <c r="B40" s="1" t="s">
        <v>45</v>
      </c>
      <c r="C40" s="1" t="s">
        <v>125</v>
      </c>
      <c r="D40" s="1" t="s">
        <v>127</v>
      </c>
      <c r="E40" s="1">
        <v>95.7</v>
      </c>
      <c r="F40" s="1" t="s">
        <v>110</v>
      </c>
      <c r="G40" s="1" t="s">
        <v>117</v>
      </c>
      <c r="H40" s="1" t="s">
        <v>105</v>
      </c>
      <c r="I40" s="1" t="str">
        <f>IF(OR(tbl_MasterData[[#This Row],[Subcategory]]="Internet",tbl_MasterData[[#This Row],[Subcategory]]="Social Media"),tbl_MasterData[[#This Row],[Subcategory]],"")</f>
        <v/>
      </c>
    </row>
    <row r="41" spans="1:9" ht="28.05" customHeight="1" x14ac:dyDescent="0.3">
      <c r="A41" s="1">
        <v>2025</v>
      </c>
      <c r="B41" s="1" t="s">
        <v>128</v>
      </c>
      <c r="C41" s="1" t="s">
        <v>129</v>
      </c>
      <c r="D41" s="1" t="s">
        <v>130</v>
      </c>
      <c r="E41" s="1">
        <v>85.5</v>
      </c>
      <c r="F41" s="1" t="s">
        <v>110</v>
      </c>
      <c r="G41" s="1" t="s">
        <v>117</v>
      </c>
      <c r="H41" s="1" t="s">
        <v>105</v>
      </c>
      <c r="I41" s="1" t="str">
        <f>IF(OR(tbl_MasterData[[#This Row],[Subcategory]]="Internet",tbl_MasterData[[#This Row],[Subcategory]]="Social Media"),tbl_MasterData[[#This Row],[Subcategory]],"")</f>
        <v/>
      </c>
    </row>
    <row r="42" spans="1:9" ht="28.05" customHeight="1" x14ac:dyDescent="0.3">
      <c r="A42" s="1">
        <v>2025</v>
      </c>
      <c r="B42" s="1" t="s">
        <v>128</v>
      </c>
      <c r="C42" s="1" t="s">
        <v>101</v>
      </c>
      <c r="D42" s="1" t="s">
        <v>130</v>
      </c>
      <c r="E42" s="1">
        <v>86.3</v>
      </c>
      <c r="F42" s="1" t="s">
        <v>110</v>
      </c>
      <c r="G42" s="1" t="s">
        <v>117</v>
      </c>
      <c r="H42" s="1" t="s">
        <v>105</v>
      </c>
      <c r="I42" s="1" t="str">
        <f>IF(OR(tbl_MasterData[[#This Row],[Subcategory]]="Internet",tbl_MasterData[[#This Row],[Subcategory]]="Social Media"),tbl_MasterData[[#This Row],[Subcategory]],"")</f>
        <v>Internet</v>
      </c>
    </row>
    <row r="43" spans="1:9" ht="28.05" customHeight="1" x14ac:dyDescent="0.3">
      <c r="A43" s="1">
        <v>2025</v>
      </c>
      <c r="B43" s="1" t="s">
        <v>131</v>
      </c>
      <c r="C43" s="1" t="s">
        <v>106</v>
      </c>
      <c r="D43" s="1" t="s">
        <v>132</v>
      </c>
      <c r="E43" s="1">
        <v>3.2</v>
      </c>
      <c r="F43" s="1" t="s">
        <v>133</v>
      </c>
      <c r="G43" s="1" t="s">
        <v>104</v>
      </c>
      <c r="H43" s="1" t="s">
        <v>112</v>
      </c>
      <c r="I43" s="1" t="str">
        <f>IF(OR(tbl_MasterData[[#This Row],[Subcategory]]="Internet",tbl_MasterData[[#This Row],[Subcategory]]="Social Media"),tbl_MasterData[[#This Row],[Subcategory]],"")</f>
        <v>Social Media</v>
      </c>
    </row>
    <row r="44" spans="1:9" ht="28.05" customHeight="1" x14ac:dyDescent="0.3">
      <c r="A44" s="1">
        <v>2025</v>
      </c>
      <c r="B44" s="1" t="s">
        <v>131</v>
      </c>
      <c r="C44" s="1" t="s">
        <v>134</v>
      </c>
      <c r="D44" s="1" t="s">
        <v>135</v>
      </c>
      <c r="E44" s="1">
        <v>24</v>
      </c>
      <c r="F44" s="1" t="s">
        <v>136</v>
      </c>
      <c r="G44" s="1" t="s">
        <v>137</v>
      </c>
      <c r="H44" s="1" t="s">
        <v>112</v>
      </c>
      <c r="I44" s="1" t="str">
        <f>IF(OR(tbl_MasterData[[#This Row],[Subcategory]]="Internet",tbl_MasterData[[#This Row],[Subcategory]]="Social Media"),tbl_MasterData[[#This Row],[Subcategory]],"")</f>
        <v/>
      </c>
    </row>
    <row r="45" spans="1:9" ht="28.05" customHeight="1" x14ac:dyDescent="0.3">
      <c r="A45" s="1">
        <v>2025</v>
      </c>
      <c r="B45" s="1" t="s">
        <v>131</v>
      </c>
      <c r="C45" s="1" t="s">
        <v>106</v>
      </c>
      <c r="D45" s="1" t="s">
        <v>138</v>
      </c>
      <c r="E45" s="1">
        <v>3.2</v>
      </c>
      <c r="F45" s="1" t="s">
        <v>133</v>
      </c>
      <c r="G45" s="1" t="s">
        <v>104</v>
      </c>
      <c r="H45" s="1" t="s">
        <v>139</v>
      </c>
      <c r="I45" s="1" t="str">
        <f>IF(OR(tbl_MasterData[[#This Row],[Subcategory]]="Internet",tbl_MasterData[[#This Row],[Subcategory]]="Social Media"),tbl_MasterData[[#This Row],[Subcategory]],"")</f>
        <v>Social Media</v>
      </c>
    </row>
    <row r="46" spans="1:9" ht="28.05" customHeight="1" x14ac:dyDescent="0.3">
      <c r="A46" s="1">
        <v>2024</v>
      </c>
      <c r="B46" s="1" t="s">
        <v>140</v>
      </c>
      <c r="C46" s="1" t="s">
        <v>115</v>
      </c>
      <c r="D46" s="1" t="s">
        <v>141</v>
      </c>
      <c r="E46" s="1">
        <v>76</v>
      </c>
      <c r="F46" s="1" t="s">
        <v>110</v>
      </c>
      <c r="G46" s="1" t="s">
        <v>117</v>
      </c>
      <c r="H46" s="1" t="s">
        <v>139</v>
      </c>
      <c r="I46" s="1" t="str">
        <f>IF(OR(tbl_MasterData[[#This Row],[Subcategory]]="Internet",tbl_MasterData[[#This Row],[Subcategory]]="Social Media"),tbl_MasterData[[#This Row],[Subcategory]],"")</f>
        <v/>
      </c>
    </row>
    <row r="47" spans="1:9" ht="28.05" customHeight="1" x14ac:dyDescent="0.3">
      <c r="A47" s="1">
        <v>2024</v>
      </c>
      <c r="B47" s="1" t="s">
        <v>140</v>
      </c>
      <c r="C47" s="1" t="s">
        <v>115</v>
      </c>
      <c r="D47" s="1" t="s">
        <v>142</v>
      </c>
      <c r="E47" s="1">
        <v>90</v>
      </c>
      <c r="F47" s="1" t="s">
        <v>110</v>
      </c>
      <c r="G47" s="1" t="s">
        <v>117</v>
      </c>
      <c r="H47" s="1" t="s">
        <v>112</v>
      </c>
      <c r="I47" s="1" t="str">
        <f>IF(OR(tbl_MasterData[[#This Row],[Subcategory]]="Internet",tbl_MasterData[[#This Row],[Subcategory]]="Social Media"),tbl_MasterData[[#This Row],[Subcategory]],"")</f>
        <v/>
      </c>
    </row>
    <row r="48" spans="1:9" ht="28.05" customHeight="1" x14ac:dyDescent="0.3">
      <c r="A48" s="1" t="s">
        <v>143</v>
      </c>
      <c r="B48" s="1" t="s">
        <v>144</v>
      </c>
      <c r="C48" s="1" t="s">
        <v>145</v>
      </c>
      <c r="D48" s="1" t="s">
        <v>146</v>
      </c>
      <c r="E48" s="1">
        <v>1</v>
      </c>
      <c r="F48" s="1" t="s">
        <v>147</v>
      </c>
      <c r="G48" s="1" t="s">
        <v>148</v>
      </c>
      <c r="H48" s="1" t="s">
        <v>139</v>
      </c>
      <c r="I48" s="1" t="str">
        <f>IF(OR(tbl_MasterData[[#This Row],[Subcategory]]="Internet",tbl_MasterData[[#This Row],[Subcategory]]="Social Media"),tbl_MasterData[[#This Row],[Subcategory]],"")</f>
        <v/>
      </c>
    </row>
    <row r="49" spans="1:9" ht="28.05" customHeight="1" x14ac:dyDescent="0.3">
      <c r="A49" s="1" t="s">
        <v>143</v>
      </c>
      <c r="B49" s="1" t="s">
        <v>144</v>
      </c>
      <c r="C49" s="1" t="s">
        <v>149</v>
      </c>
      <c r="D49" s="1" t="s">
        <v>86</v>
      </c>
      <c r="E49" s="1">
        <v>0</v>
      </c>
      <c r="F49" s="1" t="s">
        <v>147</v>
      </c>
      <c r="G49" s="1" t="s">
        <v>148</v>
      </c>
      <c r="H49" s="1" t="s">
        <v>139</v>
      </c>
      <c r="I49" s="1" t="str">
        <f>IF(OR(tbl_MasterData[[#This Row],[Subcategory]]="Internet",tbl_MasterData[[#This Row],[Subcategory]]="Social Media"),tbl_MasterData[[#This Row],[Subcategory]],"")</f>
        <v/>
      </c>
    </row>
  </sheetData>
  <conditionalFormatting sqref="H2:H49">
    <cfRule type="containsText" dxfId="2" priority="1" operator="containsText" text="Neutral">
      <formula>NOT(ISERROR(SEARCH("Neutral",H2)))</formula>
    </cfRule>
    <cfRule type="containsText" dxfId="1" priority="2" operator="containsText" text="Bad">
      <formula>NOT(ISERROR(SEARCH("Bad",H2)))</formula>
    </cfRule>
    <cfRule type="containsText" dxfId="0" priority="3" operator="containsText" text="Good">
      <formula>NOT(ISERROR(SEARCH("Good",H2)))</formula>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583309-7424-4E37-923C-83515BE949BE}">
  <dimension ref="A1:I49"/>
  <sheetViews>
    <sheetView workbookViewId="0">
      <selection activeCell="M14" sqref="M13:M14"/>
    </sheetView>
  </sheetViews>
  <sheetFormatPr defaultRowHeight="14.4" x14ac:dyDescent="0.3"/>
  <cols>
    <col min="1" max="1" width="6.88671875" bestFit="1" customWidth="1"/>
    <col min="2" max="2" width="12.21875" bestFit="1" customWidth="1"/>
    <col min="3" max="3" width="13.5546875" bestFit="1" customWidth="1"/>
    <col min="4" max="4" width="27.44140625" bestFit="1" customWidth="1"/>
    <col min="5" max="5" width="7.88671875" bestFit="1" customWidth="1"/>
    <col min="6" max="6" width="6.6640625" bestFit="1" customWidth="1"/>
    <col min="7" max="7" width="13.109375" bestFit="1" customWidth="1"/>
    <col min="8" max="8" width="9.21875" bestFit="1" customWidth="1"/>
    <col min="9" max="9" width="12.5546875" bestFit="1" customWidth="1"/>
  </cols>
  <sheetData>
    <row r="1" spans="1:9" x14ac:dyDescent="0.3">
      <c r="A1" t="s">
        <v>1</v>
      </c>
      <c r="B1" t="s">
        <v>21</v>
      </c>
      <c r="C1" t="s">
        <v>97</v>
      </c>
      <c r="D1" t="s">
        <v>34</v>
      </c>
      <c r="E1" t="s">
        <v>35</v>
      </c>
      <c r="F1" t="s">
        <v>98</v>
      </c>
      <c r="G1" t="s">
        <v>99</v>
      </c>
      <c r="H1" t="s">
        <v>65</v>
      </c>
      <c r="I1" t="s">
        <v>165</v>
      </c>
    </row>
    <row r="2" spans="1:9" x14ac:dyDescent="0.3">
      <c r="A2">
        <v>2015</v>
      </c>
      <c r="B2" t="s">
        <v>100</v>
      </c>
      <c r="C2" t="s">
        <v>101</v>
      </c>
      <c r="D2" t="s">
        <v>102</v>
      </c>
      <c r="E2">
        <v>302</v>
      </c>
      <c r="F2" t="s">
        <v>103</v>
      </c>
      <c r="G2" t="s">
        <v>104</v>
      </c>
      <c r="H2" t="s">
        <v>105</v>
      </c>
      <c r="I2" t="s">
        <v>101</v>
      </c>
    </row>
    <row r="3" spans="1:9" x14ac:dyDescent="0.3">
      <c r="A3">
        <v>2016</v>
      </c>
      <c r="B3" t="s">
        <v>100</v>
      </c>
      <c r="C3" t="s">
        <v>101</v>
      </c>
      <c r="D3" t="s">
        <v>102</v>
      </c>
      <c r="E3">
        <v>342</v>
      </c>
      <c r="F3" t="s">
        <v>103</v>
      </c>
      <c r="G3" t="s">
        <v>104</v>
      </c>
      <c r="H3" t="s">
        <v>105</v>
      </c>
      <c r="I3" t="s">
        <v>101</v>
      </c>
    </row>
    <row r="4" spans="1:9" x14ac:dyDescent="0.3">
      <c r="A4">
        <v>2017</v>
      </c>
      <c r="B4" t="s">
        <v>100</v>
      </c>
      <c r="C4" t="s">
        <v>101</v>
      </c>
      <c r="D4" t="s">
        <v>102</v>
      </c>
      <c r="E4">
        <v>391</v>
      </c>
      <c r="F4" t="s">
        <v>103</v>
      </c>
      <c r="G4" t="s">
        <v>104</v>
      </c>
      <c r="H4" t="s">
        <v>105</v>
      </c>
      <c r="I4" t="s">
        <v>101</v>
      </c>
    </row>
    <row r="5" spans="1:9" x14ac:dyDescent="0.3">
      <c r="A5">
        <v>2018</v>
      </c>
      <c r="B5" t="s">
        <v>100</v>
      </c>
      <c r="C5" t="s">
        <v>101</v>
      </c>
      <c r="D5" t="s">
        <v>102</v>
      </c>
      <c r="E5">
        <v>483</v>
      </c>
      <c r="F5" t="s">
        <v>103</v>
      </c>
      <c r="G5" t="s">
        <v>104</v>
      </c>
      <c r="H5" t="s">
        <v>105</v>
      </c>
      <c r="I5" t="s">
        <v>101</v>
      </c>
    </row>
    <row r="6" spans="1:9" x14ac:dyDescent="0.3">
      <c r="A6">
        <v>2019</v>
      </c>
      <c r="B6" t="s">
        <v>100</v>
      </c>
      <c r="C6" t="s">
        <v>101</v>
      </c>
      <c r="D6" t="s">
        <v>102</v>
      </c>
      <c r="E6">
        <v>560</v>
      </c>
      <c r="F6" t="s">
        <v>103</v>
      </c>
      <c r="G6" t="s">
        <v>104</v>
      </c>
      <c r="H6" t="s">
        <v>105</v>
      </c>
      <c r="I6" t="s">
        <v>101</v>
      </c>
    </row>
    <row r="7" spans="1:9" x14ac:dyDescent="0.3">
      <c r="A7">
        <v>2020</v>
      </c>
      <c r="B7" t="s">
        <v>100</v>
      </c>
      <c r="C7" t="s">
        <v>101</v>
      </c>
      <c r="D7" t="s">
        <v>102</v>
      </c>
      <c r="E7">
        <v>624</v>
      </c>
      <c r="F7" t="s">
        <v>103</v>
      </c>
      <c r="G7" t="s">
        <v>104</v>
      </c>
      <c r="H7" t="s">
        <v>105</v>
      </c>
      <c r="I7" t="s">
        <v>101</v>
      </c>
    </row>
    <row r="8" spans="1:9" x14ac:dyDescent="0.3">
      <c r="A8">
        <v>2021</v>
      </c>
      <c r="B8" t="s">
        <v>100</v>
      </c>
      <c r="C8" t="s">
        <v>101</v>
      </c>
      <c r="D8" t="s">
        <v>102</v>
      </c>
      <c r="E8">
        <v>658</v>
      </c>
      <c r="F8" t="s">
        <v>103</v>
      </c>
      <c r="G8" t="s">
        <v>104</v>
      </c>
      <c r="H8" t="s">
        <v>105</v>
      </c>
      <c r="I8" t="s">
        <v>101</v>
      </c>
    </row>
    <row r="9" spans="1:9" x14ac:dyDescent="0.3">
      <c r="A9">
        <v>2022</v>
      </c>
      <c r="B9" t="s">
        <v>100</v>
      </c>
      <c r="C9" t="s">
        <v>101</v>
      </c>
      <c r="D9" t="s">
        <v>102</v>
      </c>
      <c r="E9">
        <v>692</v>
      </c>
      <c r="F9" t="s">
        <v>103</v>
      </c>
      <c r="G9" t="s">
        <v>104</v>
      </c>
      <c r="H9" t="s">
        <v>105</v>
      </c>
      <c r="I9" t="s">
        <v>101</v>
      </c>
    </row>
    <row r="10" spans="1:9" x14ac:dyDescent="0.3">
      <c r="A10">
        <v>2023</v>
      </c>
      <c r="B10" t="s">
        <v>100</v>
      </c>
      <c r="C10" t="s">
        <v>101</v>
      </c>
      <c r="D10" t="s">
        <v>102</v>
      </c>
      <c r="E10">
        <v>751</v>
      </c>
      <c r="F10" t="s">
        <v>103</v>
      </c>
      <c r="G10" t="s">
        <v>104</v>
      </c>
      <c r="H10" t="s">
        <v>105</v>
      </c>
      <c r="I10" t="s">
        <v>101</v>
      </c>
    </row>
    <row r="11" spans="1:9" x14ac:dyDescent="0.3">
      <c r="A11">
        <v>2024</v>
      </c>
      <c r="B11" t="s">
        <v>100</v>
      </c>
      <c r="C11" t="s">
        <v>101</v>
      </c>
      <c r="D11" t="s">
        <v>102</v>
      </c>
      <c r="E11">
        <v>757</v>
      </c>
      <c r="F11" t="s">
        <v>103</v>
      </c>
      <c r="G11" t="s">
        <v>104</v>
      </c>
      <c r="H11" t="s">
        <v>105</v>
      </c>
      <c r="I11" t="s">
        <v>101</v>
      </c>
    </row>
    <row r="12" spans="1:9" x14ac:dyDescent="0.3">
      <c r="A12">
        <v>2025</v>
      </c>
      <c r="B12" t="s">
        <v>100</v>
      </c>
      <c r="C12" t="s">
        <v>101</v>
      </c>
      <c r="D12" t="s">
        <v>102</v>
      </c>
      <c r="E12">
        <v>806</v>
      </c>
      <c r="F12" t="s">
        <v>103</v>
      </c>
      <c r="G12" t="s">
        <v>104</v>
      </c>
      <c r="H12" t="s">
        <v>105</v>
      </c>
      <c r="I12" t="s">
        <v>101</v>
      </c>
    </row>
    <row r="13" spans="1:9" x14ac:dyDescent="0.3">
      <c r="A13">
        <v>2015</v>
      </c>
      <c r="B13" t="s">
        <v>100</v>
      </c>
      <c r="C13" t="s">
        <v>106</v>
      </c>
      <c r="D13" t="s">
        <v>102</v>
      </c>
      <c r="E13">
        <v>142</v>
      </c>
      <c r="F13" t="s">
        <v>103</v>
      </c>
      <c r="G13" t="s">
        <v>104</v>
      </c>
      <c r="H13" t="s">
        <v>105</v>
      </c>
      <c r="I13" t="s">
        <v>106</v>
      </c>
    </row>
    <row r="14" spans="1:9" x14ac:dyDescent="0.3">
      <c r="A14">
        <v>2016</v>
      </c>
      <c r="B14" t="s">
        <v>100</v>
      </c>
      <c r="C14" t="s">
        <v>106</v>
      </c>
      <c r="D14" t="s">
        <v>102</v>
      </c>
      <c r="E14">
        <v>168</v>
      </c>
      <c r="F14" t="s">
        <v>103</v>
      </c>
      <c r="G14" t="s">
        <v>104</v>
      </c>
      <c r="H14" t="s">
        <v>105</v>
      </c>
      <c r="I14" t="s">
        <v>106</v>
      </c>
    </row>
    <row r="15" spans="1:9" x14ac:dyDescent="0.3">
      <c r="A15">
        <v>2017</v>
      </c>
      <c r="B15" t="s">
        <v>100</v>
      </c>
      <c r="C15" t="s">
        <v>106</v>
      </c>
      <c r="D15" t="s">
        <v>102</v>
      </c>
      <c r="E15">
        <v>239</v>
      </c>
      <c r="F15" t="s">
        <v>103</v>
      </c>
      <c r="G15" t="s">
        <v>104</v>
      </c>
      <c r="H15" t="s">
        <v>105</v>
      </c>
      <c r="I15" t="s">
        <v>106</v>
      </c>
    </row>
    <row r="16" spans="1:9" x14ac:dyDescent="0.3">
      <c r="A16">
        <v>2018</v>
      </c>
      <c r="B16" t="s">
        <v>100</v>
      </c>
      <c r="C16" t="s">
        <v>106</v>
      </c>
      <c r="D16" t="s">
        <v>102</v>
      </c>
      <c r="E16">
        <v>326</v>
      </c>
      <c r="F16" t="s">
        <v>103</v>
      </c>
      <c r="G16" t="s">
        <v>104</v>
      </c>
      <c r="H16" t="s">
        <v>105</v>
      </c>
      <c r="I16" t="s">
        <v>106</v>
      </c>
    </row>
    <row r="17" spans="1:9" x14ac:dyDescent="0.3">
      <c r="A17">
        <v>2019</v>
      </c>
      <c r="B17" t="s">
        <v>100</v>
      </c>
      <c r="C17" t="s">
        <v>106</v>
      </c>
      <c r="D17" t="s">
        <v>102</v>
      </c>
      <c r="E17">
        <v>351</v>
      </c>
      <c r="F17" t="s">
        <v>103</v>
      </c>
      <c r="G17" t="s">
        <v>104</v>
      </c>
      <c r="H17" t="s">
        <v>105</v>
      </c>
      <c r="I17" t="s">
        <v>106</v>
      </c>
    </row>
    <row r="18" spans="1:9" x14ac:dyDescent="0.3">
      <c r="A18">
        <v>2020</v>
      </c>
      <c r="B18" t="s">
        <v>100</v>
      </c>
      <c r="C18" t="s">
        <v>106</v>
      </c>
      <c r="D18" t="s">
        <v>102</v>
      </c>
      <c r="E18">
        <v>376</v>
      </c>
      <c r="F18" t="s">
        <v>103</v>
      </c>
      <c r="G18" t="s">
        <v>104</v>
      </c>
      <c r="H18" t="s">
        <v>105</v>
      </c>
      <c r="I18" t="s">
        <v>106</v>
      </c>
    </row>
    <row r="19" spans="1:9" x14ac:dyDescent="0.3">
      <c r="A19">
        <v>2021</v>
      </c>
      <c r="B19" t="s">
        <v>100</v>
      </c>
      <c r="C19" t="s">
        <v>106</v>
      </c>
      <c r="D19" t="s">
        <v>102</v>
      </c>
      <c r="E19">
        <v>448</v>
      </c>
      <c r="F19" t="s">
        <v>103</v>
      </c>
      <c r="G19" t="s">
        <v>104</v>
      </c>
      <c r="H19" t="s">
        <v>105</v>
      </c>
      <c r="I19" t="s">
        <v>106</v>
      </c>
    </row>
    <row r="20" spans="1:9" x14ac:dyDescent="0.3">
      <c r="A20">
        <v>2022</v>
      </c>
      <c r="B20" t="s">
        <v>100</v>
      </c>
      <c r="C20" t="s">
        <v>106</v>
      </c>
      <c r="D20" t="s">
        <v>102</v>
      </c>
      <c r="E20">
        <v>467</v>
      </c>
      <c r="F20" t="s">
        <v>103</v>
      </c>
      <c r="G20" t="s">
        <v>104</v>
      </c>
      <c r="H20" t="s">
        <v>105</v>
      </c>
      <c r="I20" t="s">
        <v>106</v>
      </c>
    </row>
    <row r="21" spans="1:9" x14ac:dyDescent="0.3">
      <c r="A21">
        <v>2023</v>
      </c>
      <c r="B21" t="s">
        <v>100</v>
      </c>
      <c r="C21" t="s">
        <v>106</v>
      </c>
      <c r="D21" t="s">
        <v>102</v>
      </c>
      <c r="E21">
        <v>462</v>
      </c>
      <c r="F21" t="s">
        <v>103</v>
      </c>
      <c r="G21" t="s">
        <v>104</v>
      </c>
      <c r="H21" t="s">
        <v>105</v>
      </c>
      <c r="I21" t="s">
        <v>106</v>
      </c>
    </row>
    <row r="22" spans="1:9" x14ac:dyDescent="0.3">
      <c r="A22">
        <v>2024</v>
      </c>
      <c r="B22" t="s">
        <v>100</v>
      </c>
      <c r="C22" t="s">
        <v>106</v>
      </c>
      <c r="D22" t="s">
        <v>102</v>
      </c>
      <c r="E22">
        <v>462</v>
      </c>
      <c r="F22" t="s">
        <v>103</v>
      </c>
      <c r="G22" t="s">
        <v>104</v>
      </c>
      <c r="H22" t="s">
        <v>105</v>
      </c>
      <c r="I22" t="s">
        <v>106</v>
      </c>
    </row>
    <row r="23" spans="1:9" x14ac:dyDescent="0.3">
      <c r="A23">
        <v>2025</v>
      </c>
      <c r="B23" t="s">
        <v>100</v>
      </c>
      <c r="C23" t="s">
        <v>106</v>
      </c>
      <c r="D23" t="s">
        <v>102</v>
      </c>
      <c r="E23">
        <v>491</v>
      </c>
      <c r="F23" t="s">
        <v>103</v>
      </c>
      <c r="G23" t="s">
        <v>104</v>
      </c>
      <c r="H23" t="s">
        <v>105</v>
      </c>
      <c r="I23" t="s">
        <v>106</v>
      </c>
    </row>
    <row r="24" spans="1:9" x14ac:dyDescent="0.3">
      <c r="A24">
        <v>2025</v>
      </c>
      <c r="B24" t="s">
        <v>19</v>
      </c>
      <c r="C24" t="s">
        <v>22</v>
      </c>
      <c r="D24" t="s">
        <v>102</v>
      </c>
      <c r="E24">
        <v>500</v>
      </c>
      <c r="F24" t="s">
        <v>103</v>
      </c>
      <c r="G24" t="s">
        <v>104</v>
      </c>
      <c r="H24" t="s">
        <v>105</v>
      </c>
      <c r="I24" t="s">
        <v>166</v>
      </c>
    </row>
    <row r="25" spans="1:9" x14ac:dyDescent="0.3">
      <c r="A25">
        <v>2025</v>
      </c>
      <c r="B25" t="s">
        <v>19</v>
      </c>
      <c r="C25" t="s">
        <v>24</v>
      </c>
      <c r="D25" t="s">
        <v>102</v>
      </c>
      <c r="E25">
        <v>414</v>
      </c>
      <c r="F25" t="s">
        <v>103</v>
      </c>
      <c r="G25" t="s">
        <v>104</v>
      </c>
      <c r="H25" t="s">
        <v>105</v>
      </c>
      <c r="I25" t="s">
        <v>166</v>
      </c>
    </row>
    <row r="26" spans="1:9" x14ac:dyDescent="0.3">
      <c r="A26">
        <v>2025</v>
      </c>
      <c r="B26" t="s">
        <v>19</v>
      </c>
      <c r="C26" t="s">
        <v>26</v>
      </c>
      <c r="D26" t="s">
        <v>102</v>
      </c>
      <c r="E26">
        <v>384</v>
      </c>
      <c r="F26" t="s">
        <v>103</v>
      </c>
      <c r="G26" t="s">
        <v>104</v>
      </c>
      <c r="H26" t="s">
        <v>105</v>
      </c>
      <c r="I26" t="s">
        <v>166</v>
      </c>
    </row>
    <row r="27" spans="1:9" x14ac:dyDescent="0.3">
      <c r="A27">
        <v>2025</v>
      </c>
      <c r="B27" t="s">
        <v>19</v>
      </c>
      <c r="C27" t="s">
        <v>27</v>
      </c>
      <c r="D27" t="s">
        <v>102</v>
      </c>
      <c r="E27">
        <v>213</v>
      </c>
      <c r="F27" t="s">
        <v>103</v>
      </c>
      <c r="G27" t="s">
        <v>104</v>
      </c>
      <c r="H27" t="s">
        <v>105</v>
      </c>
      <c r="I27" t="s">
        <v>166</v>
      </c>
    </row>
    <row r="28" spans="1:9" x14ac:dyDescent="0.3">
      <c r="A28">
        <v>2025</v>
      </c>
      <c r="B28" t="s">
        <v>107</v>
      </c>
      <c r="C28" t="s">
        <v>108</v>
      </c>
      <c r="D28" t="s">
        <v>109</v>
      </c>
      <c r="E28">
        <v>95</v>
      </c>
      <c r="F28" t="s">
        <v>110</v>
      </c>
      <c r="G28" t="s">
        <v>111</v>
      </c>
      <c r="H28" t="s">
        <v>112</v>
      </c>
      <c r="I28" t="s">
        <v>166</v>
      </c>
    </row>
    <row r="29" spans="1:9" x14ac:dyDescent="0.3">
      <c r="A29">
        <v>2025</v>
      </c>
      <c r="B29" t="s">
        <v>107</v>
      </c>
      <c r="C29" t="s">
        <v>113</v>
      </c>
      <c r="D29" t="s">
        <v>109</v>
      </c>
      <c r="E29">
        <v>4</v>
      </c>
      <c r="F29" t="s">
        <v>110</v>
      </c>
      <c r="G29" t="s">
        <v>111</v>
      </c>
      <c r="H29" t="s">
        <v>112</v>
      </c>
      <c r="I29" t="s">
        <v>166</v>
      </c>
    </row>
    <row r="30" spans="1:9" x14ac:dyDescent="0.3">
      <c r="A30">
        <v>2025</v>
      </c>
      <c r="B30" t="s">
        <v>107</v>
      </c>
      <c r="C30" t="s">
        <v>114</v>
      </c>
      <c r="D30" t="s">
        <v>109</v>
      </c>
      <c r="E30">
        <v>1</v>
      </c>
      <c r="F30" t="s">
        <v>110</v>
      </c>
      <c r="G30" t="s">
        <v>111</v>
      </c>
      <c r="H30" t="s">
        <v>112</v>
      </c>
      <c r="I30" t="s">
        <v>166</v>
      </c>
    </row>
    <row r="31" spans="1:9" x14ac:dyDescent="0.3">
      <c r="A31">
        <v>2024</v>
      </c>
      <c r="B31" t="s">
        <v>67</v>
      </c>
      <c r="C31" t="s">
        <v>115</v>
      </c>
      <c r="D31" t="s">
        <v>116</v>
      </c>
      <c r="E31">
        <v>57</v>
      </c>
      <c r="F31" t="s">
        <v>110</v>
      </c>
      <c r="G31" t="s">
        <v>117</v>
      </c>
      <c r="H31" t="s">
        <v>105</v>
      </c>
      <c r="I31" t="s">
        <v>166</v>
      </c>
    </row>
    <row r="32" spans="1:9" x14ac:dyDescent="0.3">
      <c r="A32">
        <v>2024</v>
      </c>
      <c r="B32" t="s">
        <v>118</v>
      </c>
      <c r="C32" t="s">
        <v>93</v>
      </c>
      <c r="D32" t="s">
        <v>119</v>
      </c>
      <c r="E32">
        <v>76</v>
      </c>
      <c r="F32" t="s">
        <v>110</v>
      </c>
      <c r="G32" t="s">
        <v>117</v>
      </c>
      <c r="H32" t="s">
        <v>112</v>
      </c>
      <c r="I32" t="s">
        <v>166</v>
      </c>
    </row>
    <row r="33" spans="1:9" x14ac:dyDescent="0.3">
      <c r="A33">
        <v>2024</v>
      </c>
      <c r="B33" t="s">
        <v>118</v>
      </c>
      <c r="C33" t="s">
        <v>93</v>
      </c>
      <c r="D33" t="s">
        <v>120</v>
      </c>
      <c r="E33">
        <v>82.2</v>
      </c>
      <c r="F33" t="s">
        <v>110</v>
      </c>
      <c r="G33" t="s">
        <v>117</v>
      </c>
      <c r="H33" t="s">
        <v>112</v>
      </c>
      <c r="I33" t="s">
        <v>166</v>
      </c>
    </row>
    <row r="34" spans="1:9" x14ac:dyDescent="0.3">
      <c r="A34">
        <v>2024</v>
      </c>
      <c r="B34" t="s">
        <v>118</v>
      </c>
      <c r="C34" t="s">
        <v>93</v>
      </c>
      <c r="D34" t="s">
        <v>121</v>
      </c>
      <c r="E34">
        <v>90</v>
      </c>
      <c r="F34" t="s">
        <v>110</v>
      </c>
      <c r="G34" t="s">
        <v>117</v>
      </c>
      <c r="H34" t="s">
        <v>112</v>
      </c>
      <c r="I34" t="s">
        <v>166</v>
      </c>
    </row>
    <row r="35" spans="1:9" x14ac:dyDescent="0.3">
      <c r="A35">
        <v>2024</v>
      </c>
      <c r="B35" t="s">
        <v>118</v>
      </c>
      <c r="C35" t="s">
        <v>122</v>
      </c>
      <c r="D35" t="s">
        <v>123</v>
      </c>
      <c r="E35">
        <v>27</v>
      </c>
      <c r="F35" t="s">
        <v>110</v>
      </c>
      <c r="G35" t="s">
        <v>117</v>
      </c>
      <c r="H35" t="s">
        <v>112</v>
      </c>
      <c r="I35" t="s">
        <v>166</v>
      </c>
    </row>
    <row r="36" spans="1:9" x14ac:dyDescent="0.3">
      <c r="A36">
        <v>2024</v>
      </c>
      <c r="B36" t="s">
        <v>118</v>
      </c>
      <c r="C36" t="s">
        <v>124</v>
      </c>
      <c r="D36" t="s">
        <v>123</v>
      </c>
      <c r="E36">
        <v>37.799999999999997</v>
      </c>
      <c r="F36" t="s">
        <v>110</v>
      </c>
      <c r="G36" t="s">
        <v>117</v>
      </c>
      <c r="H36" t="s">
        <v>112</v>
      </c>
      <c r="I36" t="s">
        <v>166</v>
      </c>
    </row>
    <row r="37" spans="1:9" x14ac:dyDescent="0.3">
      <c r="A37">
        <v>2025</v>
      </c>
      <c r="B37" t="s">
        <v>44</v>
      </c>
      <c r="C37" t="s">
        <v>125</v>
      </c>
      <c r="D37" t="s">
        <v>126</v>
      </c>
      <c r="E37">
        <v>96.8</v>
      </c>
      <c r="F37" t="s">
        <v>110</v>
      </c>
      <c r="G37" t="s">
        <v>117</v>
      </c>
      <c r="H37" t="s">
        <v>105</v>
      </c>
      <c r="I37" t="s">
        <v>166</v>
      </c>
    </row>
    <row r="38" spans="1:9" x14ac:dyDescent="0.3">
      <c r="A38">
        <v>2025</v>
      </c>
      <c r="B38" t="s">
        <v>45</v>
      </c>
      <c r="C38" t="s">
        <v>125</v>
      </c>
      <c r="D38" t="s">
        <v>126</v>
      </c>
      <c r="E38">
        <v>97.6</v>
      </c>
      <c r="F38" t="s">
        <v>110</v>
      </c>
      <c r="G38" t="s">
        <v>117</v>
      </c>
      <c r="H38" t="s">
        <v>105</v>
      </c>
      <c r="I38" t="s">
        <v>166</v>
      </c>
    </row>
    <row r="39" spans="1:9" x14ac:dyDescent="0.3">
      <c r="A39">
        <v>2025</v>
      </c>
      <c r="B39" t="s">
        <v>44</v>
      </c>
      <c r="C39" t="s">
        <v>125</v>
      </c>
      <c r="D39" t="s">
        <v>127</v>
      </c>
      <c r="E39">
        <v>92.7</v>
      </c>
      <c r="F39" t="s">
        <v>110</v>
      </c>
      <c r="G39" t="s">
        <v>117</v>
      </c>
      <c r="H39" t="s">
        <v>105</v>
      </c>
      <c r="I39" t="s">
        <v>166</v>
      </c>
    </row>
    <row r="40" spans="1:9" x14ac:dyDescent="0.3">
      <c r="A40">
        <v>2025</v>
      </c>
      <c r="B40" t="s">
        <v>45</v>
      </c>
      <c r="C40" t="s">
        <v>125</v>
      </c>
      <c r="D40" t="s">
        <v>127</v>
      </c>
      <c r="E40">
        <v>95.7</v>
      </c>
      <c r="F40" t="s">
        <v>110</v>
      </c>
      <c r="G40" t="s">
        <v>117</v>
      </c>
      <c r="H40" t="s">
        <v>105</v>
      </c>
      <c r="I40" t="s">
        <v>166</v>
      </c>
    </row>
    <row r="41" spans="1:9" x14ac:dyDescent="0.3">
      <c r="A41">
        <v>2025</v>
      </c>
      <c r="B41" t="s">
        <v>128</v>
      </c>
      <c r="C41" t="s">
        <v>129</v>
      </c>
      <c r="D41" t="s">
        <v>130</v>
      </c>
      <c r="E41">
        <v>85.5</v>
      </c>
      <c r="F41" t="s">
        <v>110</v>
      </c>
      <c r="G41" t="s">
        <v>117</v>
      </c>
      <c r="H41" t="s">
        <v>105</v>
      </c>
      <c r="I41" t="s">
        <v>166</v>
      </c>
    </row>
    <row r="42" spans="1:9" x14ac:dyDescent="0.3">
      <c r="A42">
        <v>2025</v>
      </c>
      <c r="B42" t="s">
        <v>128</v>
      </c>
      <c r="C42" t="s">
        <v>101</v>
      </c>
      <c r="D42" t="s">
        <v>130</v>
      </c>
      <c r="E42">
        <v>86.3</v>
      </c>
      <c r="F42" t="s">
        <v>110</v>
      </c>
      <c r="G42" t="s">
        <v>117</v>
      </c>
      <c r="H42" t="s">
        <v>105</v>
      </c>
      <c r="I42" t="s">
        <v>101</v>
      </c>
    </row>
    <row r="43" spans="1:9" x14ac:dyDescent="0.3">
      <c r="A43">
        <v>2025</v>
      </c>
      <c r="B43" t="s">
        <v>131</v>
      </c>
      <c r="C43" t="s">
        <v>106</v>
      </c>
      <c r="D43" t="s">
        <v>132</v>
      </c>
      <c r="E43">
        <v>3.2</v>
      </c>
      <c r="F43" t="s">
        <v>133</v>
      </c>
      <c r="G43" t="s">
        <v>104</v>
      </c>
      <c r="H43" t="s">
        <v>112</v>
      </c>
      <c r="I43" t="s">
        <v>106</v>
      </c>
    </row>
    <row r="44" spans="1:9" x14ac:dyDescent="0.3">
      <c r="A44">
        <v>2025</v>
      </c>
      <c r="B44" t="s">
        <v>131</v>
      </c>
      <c r="C44" t="s">
        <v>134</v>
      </c>
      <c r="D44" t="s">
        <v>135</v>
      </c>
      <c r="E44">
        <v>24</v>
      </c>
      <c r="F44" t="s">
        <v>136</v>
      </c>
      <c r="G44" t="s">
        <v>137</v>
      </c>
      <c r="H44" t="s">
        <v>112</v>
      </c>
      <c r="I44" t="s">
        <v>166</v>
      </c>
    </row>
    <row r="45" spans="1:9" x14ac:dyDescent="0.3">
      <c r="A45">
        <v>2025</v>
      </c>
      <c r="B45" t="s">
        <v>131</v>
      </c>
      <c r="C45" t="s">
        <v>106</v>
      </c>
      <c r="D45" t="s">
        <v>138</v>
      </c>
      <c r="E45">
        <v>3.2</v>
      </c>
      <c r="F45" t="s">
        <v>133</v>
      </c>
      <c r="G45" t="s">
        <v>104</v>
      </c>
      <c r="H45" t="s">
        <v>139</v>
      </c>
      <c r="I45" t="s">
        <v>106</v>
      </c>
    </row>
    <row r="46" spans="1:9" x14ac:dyDescent="0.3">
      <c r="A46">
        <v>2024</v>
      </c>
      <c r="B46" t="s">
        <v>140</v>
      </c>
      <c r="C46" t="s">
        <v>115</v>
      </c>
      <c r="D46" t="s">
        <v>141</v>
      </c>
      <c r="E46">
        <v>76</v>
      </c>
      <c r="F46" t="s">
        <v>110</v>
      </c>
      <c r="G46" t="s">
        <v>117</v>
      </c>
      <c r="H46" t="s">
        <v>139</v>
      </c>
      <c r="I46" t="s">
        <v>166</v>
      </c>
    </row>
    <row r="47" spans="1:9" x14ac:dyDescent="0.3">
      <c r="A47">
        <v>2024</v>
      </c>
      <c r="B47" t="s">
        <v>140</v>
      </c>
      <c r="C47" t="s">
        <v>115</v>
      </c>
      <c r="D47" t="s">
        <v>142</v>
      </c>
      <c r="E47">
        <v>90</v>
      </c>
      <c r="F47" t="s">
        <v>110</v>
      </c>
      <c r="G47" t="s">
        <v>117</v>
      </c>
      <c r="H47" t="s">
        <v>112</v>
      </c>
      <c r="I47" t="s">
        <v>166</v>
      </c>
    </row>
    <row r="48" spans="1:9" x14ac:dyDescent="0.3">
      <c r="A48" t="s">
        <v>143</v>
      </c>
      <c r="B48" t="s">
        <v>144</v>
      </c>
      <c r="C48" t="s">
        <v>145</v>
      </c>
      <c r="D48" t="s">
        <v>146</v>
      </c>
      <c r="E48">
        <v>1</v>
      </c>
      <c r="F48" t="s">
        <v>147</v>
      </c>
      <c r="G48" t="s">
        <v>148</v>
      </c>
      <c r="H48" t="s">
        <v>139</v>
      </c>
      <c r="I48" t="s">
        <v>166</v>
      </c>
    </row>
    <row r="49" spans="1:9" x14ac:dyDescent="0.3">
      <c r="A49" t="s">
        <v>143</v>
      </c>
      <c r="B49" t="s">
        <v>144</v>
      </c>
      <c r="C49" t="s">
        <v>149</v>
      </c>
      <c r="D49" t="s">
        <v>86</v>
      </c>
      <c r="E49">
        <v>0</v>
      </c>
      <c r="F49" t="s">
        <v>147</v>
      </c>
      <c r="G49" t="s">
        <v>148</v>
      </c>
      <c r="H49" t="s">
        <v>139</v>
      </c>
      <c r="I49" t="s">
        <v>166</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335DC-6EEA-4DBF-935B-9A753F1CE1F0}">
  <dimension ref="A1:B6"/>
  <sheetViews>
    <sheetView zoomScale="86" workbookViewId="0">
      <selection activeCell="C6" sqref="C6"/>
    </sheetView>
  </sheetViews>
  <sheetFormatPr defaultRowHeight="14.4" x14ac:dyDescent="0.3"/>
  <cols>
    <col min="1" max="1" width="29.6640625" customWidth="1"/>
    <col min="2" max="2" width="32.77734375" customWidth="1"/>
  </cols>
  <sheetData>
    <row r="1" spans="1:2" ht="25.8" customHeight="1" x14ac:dyDescent="0.5">
      <c r="A1" s="7" t="s">
        <v>150</v>
      </c>
      <c r="B1" s="8" t="s">
        <v>35</v>
      </c>
    </row>
    <row r="2" spans="1:2" ht="25.05" customHeight="1" x14ac:dyDescent="0.5">
      <c r="A2" s="5" t="s">
        <v>151</v>
      </c>
      <c r="B2" s="6">
        <f>_xlfn.MAXIFS(tbl_MasterData[Value],tbl_MasterData[Category],"Digital Growth",tbl_MasterData[Subcategory],"Internet")</f>
        <v>806</v>
      </c>
    </row>
    <row r="3" spans="1:2" ht="25.05" customHeight="1" x14ac:dyDescent="0.5">
      <c r="A3" s="5" t="s">
        <v>152</v>
      </c>
      <c r="B3" s="6">
        <f>_xlfn.MAXIFS(tbl_MasterData[Value],tbl_MasterData[Category],"Digital Growth",tbl_MasterData[Subcategory],"Social Media")</f>
        <v>491</v>
      </c>
    </row>
    <row r="4" spans="1:2" ht="25.05" customHeight="1" x14ac:dyDescent="0.5">
      <c r="A4" s="5" t="s">
        <v>153</v>
      </c>
      <c r="B4" s="6">
        <f>SUMIFS(tbl_MasterData[Value],tbl_MasterData[Category],"Device",tbl_MasterData[Subcategory],"Android")</f>
        <v>95</v>
      </c>
    </row>
    <row r="5" spans="1:2" ht="25.05" customHeight="1" x14ac:dyDescent="0.5">
      <c r="A5" s="5" t="s">
        <v>154</v>
      </c>
      <c r="B5" s="6">
        <f>SUMIFS(tbl_MasterData[Value],tbl_MasterData[Category],"Device",tbl_MasterData[Subcategory],"iPhone")</f>
        <v>4</v>
      </c>
    </row>
    <row r="6" spans="1:2" ht="25.05" customHeight="1" x14ac:dyDescent="0.5">
      <c r="A6" s="5" t="s">
        <v>155</v>
      </c>
      <c r="B6" s="6">
        <f>AVERAGEIFS(tbl_MasterData[Value],tbl_MasterData[Category],"Usage",tbl_MasterData[Subcategory],"Social Media")</f>
        <v>3.2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A84845-9E9C-49A6-B746-A2F575157BA3}">
  <dimension ref="A3:K27"/>
  <sheetViews>
    <sheetView tabSelected="1" topLeftCell="A5" zoomScale="77" workbookViewId="0">
      <selection activeCell="C11" sqref="C11"/>
    </sheetView>
  </sheetViews>
  <sheetFormatPr defaultRowHeight="14.4" x14ac:dyDescent="0.3"/>
  <cols>
    <col min="1" max="1" width="12.44140625" bestFit="1" customWidth="1"/>
    <col min="2" max="2" width="17.77734375" customWidth="1"/>
    <col min="5" max="5" width="12.44140625" bestFit="1" customWidth="1"/>
    <col min="6" max="6" width="11.88671875" bestFit="1" customWidth="1"/>
    <col min="10" max="10" width="12.44140625" bestFit="1" customWidth="1"/>
    <col min="11" max="11" width="11.88671875" bestFit="1" customWidth="1"/>
  </cols>
  <sheetData>
    <row r="3" spans="5:6" x14ac:dyDescent="0.3">
      <c r="E3" s="9" t="s">
        <v>157</v>
      </c>
      <c r="F3" t="s">
        <v>156</v>
      </c>
    </row>
    <row r="4" spans="5:6" x14ac:dyDescent="0.3">
      <c r="E4" s="10">
        <v>2015</v>
      </c>
      <c r="F4">
        <v>142</v>
      </c>
    </row>
    <row r="5" spans="5:6" x14ac:dyDescent="0.3">
      <c r="E5" s="10">
        <v>2016</v>
      </c>
      <c r="F5">
        <v>168</v>
      </c>
    </row>
    <row r="6" spans="5:6" x14ac:dyDescent="0.3">
      <c r="E6" s="10">
        <v>2017</v>
      </c>
      <c r="F6">
        <v>239</v>
      </c>
    </row>
    <row r="7" spans="5:6" x14ac:dyDescent="0.3">
      <c r="E7" s="10">
        <v>2018</v>
      </c>
      <c r="F7">
        <v>326</v>
      </c>
    </row>
    <row r="8" spans="5:6" x14ac:dyDescent="0.3">
      <c r="E8" s="10">
        <v>2019</v>
      </c>
      <c r="F8">
        <v>351</v>
      </c>
    </row>
    <row r="9" spans="5:6" x14ac:dyDescent="0.3">
      <c r="E9" s="10">
        <v>2020</v>
      </c>
      <c r="F9">
        <v>376</v>
      </c>
    </row>
    <row r="10" spans="5:6" x14ac:dyDescent="0.3">
      <c r="E10" s="10">
        <v>2021</v>
      </c>
      <c r="F10">
        <v>448</v>
      </c>
    </row>
    <row r="11" spans="5:6" x14ac:dyDescent="0.3">
      <c r="E11" s="10">
        <v>2022</v>
      </c>
      <c r="F11">
        <v>467</v>
      </c>
    </row>
    <row r="12" spans="5:6" x14ac:dyDescent="0.3">
      <c r="E12" s="10">
        <v>2023</v>
      </c>
      <c r="F12">
        <v>462</v>
      </c>
    </row>
    <row r="13" spans="5:6" x14ac:dyDescent="0.3">
      <c r="E13" s="10">
        <v>2024</v>
      </c>
      <c r="F13">
        <v>462</v>
      </c>
    </row>
    <row r="14" spans="5:6" x14ac:dyDescent="0.3">
      <c r="E14" s="10">
        <v>2025</v>
      </c>
      <c r="F14">
        <v>497.4</v>
      </c>
    </row>
    <row r="15" spans="5:6" x14ac:dyDescent="0.3">
      <c r="E15" s="10" t="s">
        <v>158</v>
      </c>
      <c r="F15">
        <v>3938.4</v>
      </c>
    </row>
    <row r="20" spans="1:11" x14ac:dyDescent="0.3">
      <c r="A20" s="9" t="s">
        <v>21</v>
      </c>
      <c r="B20" t="s">
        <v>19</v>
      </c>
      <c r="J20" s="9" t="s">
        <v>21</v>
      </c>
      <c r="K20" t="s">
        <v>107</v>
      </c>
    </row>
    <row r="22" spans="1:11" x14ac:dyDescent="0.3">
      <c r="A22" s="9" t="s">
        <v>157</v>
      </c>
      <c r="B22" t="s">
        <v>156</v>
      </c>
      <c r="J22" s="9" t="s">
        <v>157</v>
      </c>
      <c r="K22" t="s">
        <v>156</v>
      </c>
    </row>
    <row r="23" spans="1:11" x14ac:dyDescent="0.3">
      <c r="A23" s="10" t="s">
        <v>22</v>
      </c>
      <c r="B23">
        <v>500</v>
      </c>
      <c r="J23" s="10" t="s">
        <v>108</v>
      </c>
      <c r="K23">
        <v>95</v>
      </c>
    </row>
    <row r="24" spans="1:11" x14ac:dyDescent="0.3">
      <c r="A24" s="10" t="s">
        <v>24</v>
      </c>
      <c r="B24">
        <v>414</v>
      </c>
      <c r="J24" s="10" t="s">
        <v>113</v>
      </c>
      <c r="K24">
        <v>4</v>
      </c>
    </row>
    <row r="25" spans="1:11" x14ac:dyDescent="0.3">
      <c r="A25" s="10" t="s">
        <v>26</v>
      </c>
      <c r="B25">
        <v>384</v>
      </c>
      <c r="J25" s="10" t="s">
        <v>114</v>
      </c>
      <c r="K25">
        <v>1</v>
      </c>
    </row>
    <row r="26" spans="1:11" x14ac:dyDescent="0.3">
      <c r="A26" s="10" t="s">
        <v>27</v>
      </c>
      <c r="B26">
        <v>213</v>
      </c>
      <c r="J26" s="10" t="s">
        <v>158</v>
      </c>
      <c r="K26">
        <v>100</v>
      </c>
    </row>
    <row r="27" spans="1:11" x14ac:dyDescent="0.3">
      <c r="A27" s="10" t="s">
        <v>158</v>
      </c>
      <c r="B27">
        <v>1511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93E7B1-CEFC-4633-BFC3-AA78F8555B2A}">
  <dimension ref="A1:I31"/>
  <sheetViews>
    <sheetView showGridLines="0" topLeftCell="A8" zoomScale="76" zoomScaleNormal="90" workbookViewId="0">
      <selection activeCell="P14" sqref="P14"/>
    </sheetView>
  </sheetViews>
  <sheetFormatPr defaultRowHeight="14.4" x14ac:dyDescent="0.3"/>
  <cols>
    <col min="4" max="4" width="8.88671875" style="13"/>
  </cols>
  <sheetData>
    <row r="1" spans="1:8" ht="21" x14ac:dyDescent="0.4">
      <c r="A1" s="20" t="s">
        <v>159</v>
      </c>
      <c r="B1" s="20"/>
      <c r="C1" s="20"/>
      <c r="D1" s="20"/>
      <c r="E1" s="20"/>
      <c r="F1" s="20"/>
      <c r="G1" s="20"/>
      <c r="H1" s="20"/>
    </row>
    <row r="3" spans="1:8" ht="14.4" customHeight="1" x14ac:dyDescent="0.3">
      <c r="A3" s="11"/>
    </row>
    <row r="8" spans="1:8" x14ac:dyDescent="0.3">
      <c r="G8" s="11"/>
    </row>
    <row r="9" spans="1:8" x14ac:dyDescent="0.3">
      <c r="G9" s="12"/>
    </row>
    <row r="23" spans="8:9" ht="18" x14ac:dyDescent="0.35">
      <c r="H23" s="14" t="s">
        <v>160</v>
      </c>
      <c r="I23" s="14"/>
    </row>
    <row r="25" spans="8:9" x14ac:dyDescent="0.3">
      <c r="H25" t="s">
        <v>161</v>
      </c>
    </row>
    <row r="27" spans="8:9" x14ac:dyDescent="0.3">
      <c r="H27" t="s">
        <v>162</v>
      </c>
    </row>
    <row r="29" spans="8:9" x14ac:dyDescent="0.3">
      <c r="H29" t="s">
        <v>163</v>
      </c>
    </row>
    <row r="31" spans="8:9" x14ac:dyDescent="0.3">
      <c r="H31" t="s">
        <v>164</v>
      </c>
    </row>
  </sheetData>
  <mergeCells count="1">
    <mergeCell ref="A1:H1"/>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0B8584D0-7E25-4E29-965A-E360236B2EE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Raw_Research</vt:lpstr>
      <vt:lpstr>Master_Data</vt:lpstr>
      <vt:lpstr>PQ_CleanData</vt:lpstr>
      <vt:lpstr>Calculations</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rajashriambulkar25@gmail.com</dc:creator>
  <cp:lastModifiedBy>rajashriambulkar25@gmail.com</cp:lastModifiedBy>
  <dcterms:created xsi:type="dcterms:W3CDTF">2026-09-09T14:57:34Z</dcterms:created>
  <dcterms:modified xsi:type="dcterms:W3CDTF">2026-09-14T10:12:27Z</dcterms:modified>
</cp:coreProperties>
</file>